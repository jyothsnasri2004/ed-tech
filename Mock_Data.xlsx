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155176c0601d62d8/Desktop/projects/datasets/"/>
    </mc:Choice>
  </mc:AlternateContent>
  <xr:revisionPtr revIDLastSave="993" documentId="8_{7CCE48E8-559D-457A-8EE6-15BB26F46738}" xr6:coauthVersionLast="47" xr6:coauthVersionMax="47" xr10:uidLastSave="{704E6B20-B0BB-4B49-8F67-69B4B4D39628}"/>
  <bookViews>
    <workbookView xWindow="-108" yWindow="-108" windowWidth="23256" windowHeight="12456" tabRatio="864" activeTab="1" xr2:uid="{00000000-000D-0000-FFFF-FFFF00000000}"/>
  </bookViews>
  <sheets>
    <sheet name="original data" sheetId="1" r:id="rId1"/>
    <sheet name="cleaned data" sheetId="2" r:id="rId2"/>
    <sheet name="pivote tables" sheetId="3" r:id="rId3"/>
    <sheet name="Dashboard" sheetId="8" r:id="rId4"/>
  </sheets>
  <definedNames>
    <definedName name="Slicer_Course_Type">#N/A</definedName>
    <definedName name="Slicer_Lead_Source">#N/A</definedName>
    <definedName name="Slicer_Lead_Status1">#N/A</definedName>
    <definedName name="Slicer_Region">#N/A</definedName>
    <definedName name="Slicer_Student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Q7" i="1"/>
  <c r="Q131" i="1" a="1"/>
  <c r="Q13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<sst xmlns="http://schemas.openxmlformats.org/spreadsheetml/2006/main" count="10442" uniqueCount="563">
  <si>
    <t>Lead ID</t>
  </si>
  <si>
    <t>Lead Source</t>
  </si>
  <si>
    <t>Lead Status</t>
  </si>
  <si>
    <t>Date of Lead Generation</t>
  </si>
  <si>
    <t>Date of Last Contact</t>
  </si>
  <si>
    <t>Sales Amount</t>
  </si>
  <si>
    <t>Region</t>
  </si>
  <si>
    <t>Salesperson</t>
  </si>
  <si>
    <t>Conversion Date</t>
  </si>
  <si>
    <t>Lead Qualification</t>
  </si>
  <si>
    <t>Course Type</t>
  </si>
  <si>
    <t>Follow-up Status</t>
  </si>
  <si>
    <t>Marketing Campaign</t>
  </si>
  <si>
    <t>Lead Score</t>
  </si>
  <si>
    <t>Student Type</t>
  </si>
  <si>
    <t>d57ca4ab-bef9-4e4c-8c94-3419a43fd6c7</t>
  </si>
  <si>
    <t>Organic</t>
  </si>
  <si>
    <t>Converted</t>
  </si>
  <si>
    <t>West</t>
  </si>
  <si>
    <t>Priya</t>
  </si>
  <si>
    <t>Unqualified</t>
  </si>
  <si>
    <t>Salesforce</t>
  </si>
  <si>
    <t>No Follow-up</t>
  </si>
  <si>
    <t>Google Ads Campaign</t>
  </si>
  <si>
    <t>Student</t>
  </si>
  <si>
    <t>79f47ede-0eac-44d3-a839-db1460f381d4</t>
  </si>
  <si>
    <t>Referral</t>
  </si>
  <si>
    <t>Contacted</t>
  </si>
  <si>
    <t>North</t>
  </si>
  <si>
    <t>Mary</t>
  </si>
  <si>
    <t>Qualified</t>
  </si>
  <si>
    <t>Data Analytics</t>
  </si>
  <si>
    <t>Organic Search</t>
  </si>
  <si>
    <t>80194ef6-0215-4b39-b7f6-cae9e2f15e62</t>
  </si>
  <si>
    <t>East</t>
  </si>
  <si>
    <t>John</t>
  </si>
  <si>
    <t>Referral Program</t>
  </si>
  <si>
    <t>a69e0f1f-e947-4785-9019-21417898987e</t>
  </si>
  <si>
    <t>Social Media</t>
  </si>
  <si>
    <t>Lost</t>
  </si>
  <si>
    <t>Java Full Stack</t>
  </si>
  <si>
    <t>Follow-up Scheduled</t>
  </si>
  <si>
    <t>cab9ce19-a08c-4892-8555-a5416ad2f566</t>
  </si>
  <si>
    <t>Power BI</t>
  </si>
  <si>
    <t>Pending Follow-up</t>
  </si>
  <si>
    <t>Facebook Ads</t>
  </si>
  <si>
    <t>Working Professional</t>
  </si>
  <si>
    <t>17223d9b-1508-4acd-ad38-dbb87c54b6bd</t>
  </si>
  <si>
    <t>South</t>
  </si>
  <si>
    <t>Raj</t>
  </si>
  <si>
    <t>d1d9fa66-4f94-49ae-8dfe-818dbfbf0830</t>
  </si>
  <si>
    <t>Google Ads</t>
  </si>
  <si>
    <t>Fresher</t>
  </si>
  <si>
    <t>a35ff586-68bf-4b9c-bb05-ffb956f2b431</t>
  </si>
  <si>
    <t>27903ba1-5fa8-4c4a-bba6-c8eccbfcd434</t>
  </si>
  <si>
    <t>4a02e573-ba1e-488a-a98b-6e4bb96f9a2e</t>
  </si>
  <si>
    <t>8a95c023-79ed-4047-871e-32a7f72ddbb6</t>
  </si>
  <si>
    <t>637b6ccc-1899-4137-923f-4dae20dc8271</t>
  </si>
  <si>
    <t>45ea686a-55ab-4099-a480-d0c6286c840c</t>
  </si>
  <si>
    <t>925c2a72-d106-4514-855f-c297e37c4618</t>
  </si>
  <si>
    <t>ab43ea01-a76b-4f64-9386-401ebc9be09c</t>
  </si>
  <si>
    <t>5c1b41dc-938e-48c5-9af9-9b2cfc8f5bd8</t>
  </si>
  <si>
    <t>2fcd2ca3-22a1-452b-8dea-e27db50cbe8d</t>
  </si>
  <si>
    <t>16717535-223d-45d6-9dc3-a6c7159ddc52</t>
  </si>
  <si>
    <t>07deb324-275c-4cea-9e54-28d8c965b7b4</t>
  </si>
  <si>
    <t>ba306618-0d96-4070-b3be-9aa0d34034bb</t>
  </si>
  <si>
    <t>4e8de92a-5f74-4e06-9852-5ef25d10f823</t>
  </si>
  <si>
    <t>870eb38e-4632-4b34-baf7-f1dba0f5ba40</t>
  </si>
  <si>
    <t>0d067572-b58c-404f-87c4-f4ee3d79d912</t>
  </si>
  <si>
    <t>dfcf1a4a-a238-499e-b218-85ef582975c8</t>
  </si>
  <si>
    <t>68bcad20-a634-45b6-8836-da35c714d8c5</t>
  </si>
  <si>
    <t>85ee12bb-f69b-4d5e-9fcf-3db043f0e5f8</t>
  </si>
  <si>
    <t>3a1e2b5c-e203-4ab0-8fa2-eaec4d54ff4d</t>
  </si>
  <si>
    <t>adb6d733-bc2c-4ae4-b3a9-761e417b991c</t>
  </si>
  <si>
    <t>1c06b221-7c3c-4f16-a2bc-d02f7c8489d9</t>
  </si>
  <si>
    <t>998b91c1-c100-450c-9310-aa3004b6460e</t>
  </si>
  <si>
    <t>a1dfefc7-92c0-4d36-9885-08b2a10f7e1e</t>
  </si>
  <si>
    <t>fe50a7ea-6cca-42e4-b647-31dbdab7d2fb</t>
  </si>
  <si>
    <t>a6996a07-e1ad-4762-aa3c-df55302c7d87</t>
  </si>
  <si>
    <t>55bf4cd9-c9c6-4166-9169-f986472dbc4c</t>
  </si>
  <si>
    <t>c23ee322-c34a-491f-8891-f5b58487b610</t>
  </si>
  <si>
    <t>e39ef79c-63c4-4e3f-ba5a-a820d16bf0e3</t>
  </si>
  <si>
    <t>43f4f7da-408e-4f96-be2c-29a1d38dae68</t>
  </si>
  <si>
    <t>80101274-0dc7-46ad-8857-e701c6e7f6d3</t>
  </si>
  <si>
    <t>12d8154e-b1c4-4767-a6b2-2932c6d802df</t>
  </si>
  <si>
    <t>6a662f27-2c8f-4d8c-9785-17394ea6efe4</t>
  </si>
  <si>
    <t>cbf4cf40-dff7-44df-8713-eb884c47caca</t>
  </si>
  <si>
    <t>c7ac3517-0126-4909-af65-b91f97e5cfda</t>
  </si>
  <si>
    <t>886be686-c07e-4d99-ae0b-9f94f6e389a9</t>
  </si>
  <si>
    <t>23a25991-72c8-4d55-af07-1774dbd8c21b</t>
  </si>
  <si>
    <t>b0caafb3-76c6-4514-9cfe-7e2f8d80933a</t>
  </si>
  <si>
    <t>16094d1c-2e6d-43d4-8cf7-2c52e1285919</t>
  </si>
  <si>
    <t>1482e109-1e6a-48db-8707-2fcd8f427793</t>
  </si>
  <si>
    <t>9219eabd-7b78-4645-880d-fbafb443ac55</t>
  </si>
  <si>
    <t>9e148d4d-ea37-452e-b5e2-85ae1b16a420</t>
  </si>
  <si>
    <t>cf448f88-ed59-47c6-8926-1c2a2d2c3a13</t>
  </si>
  <si>
    <t>d21f1d48-10b4-4e89-b0b3-08e67fd35c6f</t>
  </si>
  <si>
    <t>69a606ca-1c54-48f9-b484-5940df172664</t>
  </si>
  <si>
    <t>21750b16-569a-4a21-9c20-23f230b6cab9</t>
  </si>
  <si>
    <t>655b8e46-abf3-47a2-b0e8-1974bfa0cb02</t>
  </si>
  <si>
    <t>91325f64-8965-488d-b307-e01998f8a723</t>
  </si>
  <si>
    <t>878ab0bd-5fcb-4779-bd2d-f527ef47315d</t>
  </si>
  <si>
    <t>54861c50-cdf2-42d5-8f15-6dd4a023f6c2</t>
  </si>
  <si>
    <t>043b72a6-2570-48ac-8bbb-655d9cbd44e7</t>
  </si>
  <si>
    <t>9cfb4a86-c47c-4975-9770-e6a64d9c5f6d</t>
  </si>
  <si>
    <t>aae1c40a-c302-4172-9fcf-fb3d84cb0f0e</t>
  </si>
  <si>
    <t>ad74c29d-3eb7-49a8-9e7f-8520ff687652</t>
  </si>
  <si>
    <t>4dc4fb19-de5a-4836-8281-78fce399c272</t>
  </si>
  <si>
    <t>e938c18a-8dc3-4b99-af02-0bb782fcda88</t>
  </si>
  <si>
    <t>652c758c-e34b-496e-9332-4ccb12fddd46</t>
  </si>
  <si>
    <t>80bb604b-e2e9-4f0d-9c93-a101a0214a34</t>
  </si>
  <si>
    <t>993b073b-28dd-4822-8579-7403e3a36426</t>
  </si>
  <si>
    <t>bb6d181e-dfc0-4e52-a231-ac0ef933bade</t>
  </si>
  <si>
    <t>430d90bf-713d-4baf-bdcf-314f3c78a3dd</t>
  </si>
  <si>
    <t>aeba8f18-da5b-4dd8-b9f7-2fecba854fa3</t>
  </si>
  <si>
    <t>e51c44d0-1a83-4e77-a435-c5dcb5d18e25</t>
  </si>
  <si>
    <t>afd62be3-a9be-4361-9c0a-b8b47f70a912</t>
  </si>
  <si>
    <t>94ccf203-d929-49c3-8fb1-e1272cd248a9</t>
  </si>
  <si>
    <t>ee965f60-1817-4d71-a70e-8d70f58ca64e</t>
  </si>
  <si>
    <t>9e0def5f-5720-4d91-a343-26dc254aeba0</t>
  </si>
  <si>
    <t>4a8c4432-b948-432c-a785-d93772e0e3bb</t>
  </si>
  <si>
    <t>71915817-634d-4328-9afd-3f9c98e4ed27</t>
  </si>
  <si>
    <t>f9b48d99-2d14-46b4-a373-f096ef11df42</t>
  </si>
  <si>
    <t>4e729bc1-1af1-4ec9-a3e5-1ad07bed1a1e</t>
  </si>
  <si>
    <t>3f117def-c1ae-427a-8ebe-b1e7832f7c77</t>
  </si>
  <si>
    <t>b6749bf0-2cc4-4985-bf0c-f7b8d0f84314</t>
  </si>
  <si>
    <t>906494b6-f75b-409e-ab8b-a2eac151e8fb</t>
  </si>
  <si>
    <t>3558e0e7-9175-446a-a6ac-03db79b2e61b</t>
  </si>
  <si>
    <t>a63bf692-3842-4a52-be61-33a38d334025</t>
  </si>
  <si>
    <t>db944181-9e25-4c36-a51d-abd6200107a9</t>
  </si>
  <si>
    <t>d2c57e7d-a1d6-4676-8ba2-d53abacb0bd0</t>
  </si>
  <si>
    <t>3ee0f706-b683-4ff9-af65-5c8b3c9fc696</t>
  </si>
  <si>
    <t>2aa301c2-b76b-49cd-b0ef-fe5a3b5999b3</t>
  </si>
  <si>
    <t>8c33a42d-d418-456e-9ae5-f873ae70199d</t>
  </si>
  <si>
    <t>19388a15-68b6-48cb-a6fb-6b06ef8184e2</t>
  </si>
  <si>
    <t>2b55ab0b-4a26-4e24-a201-2ffb168ab3db</t>
  </si>
  <si>
    <t>1cb1fdd3-bc18-4156-b673-5e146fde3771</t>
  </si>
  <si>
    <t>3321f8fb-19b2-4458-9e4e-bfc7eb730c15</t>
  </si>
  <si>
    <t>74170571-ac18-44a2-b372-d4e1a1754219</t>
  </si>
  <si>
    <t>d35cb395-4245-4c7e-bb6f-f3574327d506</t>
  </si>
  <si>
    <t>22a45ccc-b82e-4016-8849-0db3c98db08f</t>
  </si>
  <si>
    <t>b9de8e40-65db-4ac2-a4e1-75e08f95a148</t>
  </si>
  <si>
    <t>ea28e20c-52eb-48ac-95cb-c7aee3b30dac</t>
  </si>
  <si>
    <t>141cb7e9-148f-4313-9264-a699c375735e</t>
  </si>
  <si>
    <t>b7e7e542-fed0-4557-b20b-1814de603e12</t>
  </si>
  <si>
    <t>56f5fdae-d1d2-4bfc-8b80-32593b90b198</t>
  </si>
  <si>
    <t>a63c160e-5037-4b32-8db8-b85a3c7f3e47</t>
  </si>
  <si>
    <t>5ff1ed60-d7ba-4bd5-9334-d10a345994b0</t>
  </si>
  <si>
    <t>730d45ad-593f-4ea3-81aa-52098b0bef2e</t>
  </si>
  <si>
    <t>be6ff876-af0f-4f67-b877-f2c0540c4a08</t>
  </si>
  <si>
    <t>cedf551a-9d8b-4dff-91e7-5390d5b8a106</t>
  </si>
  <si>
    <t>7dac53e6-54d7-4b17-9fb6-74bb63f468c9</t>
  </si>
  <si>
    <t>5865b868-975b-47a1-a566-0c016291e083</t>
  </si>
  <si>
    <t>f344d551-4fcb-410c-a682-ed859510b6d5</t>
  </si>
  <si>
    <t>e22ff3b2-b4ab-4915-ae95-93b30fe88b8e</t>
  </si>
  <si>
    <t>ff5842ff-4356-4a8d-ba84-4b9ab2281773</t>
  </si>
  <si>
    <t>f6d775cb-4f06-4a34-8802-8f713fa5e76e</t>
  </si>
  <si>
    <t>b10864c2-a0cb-436f-95c7-dcbe60b3aa1b</t>
  </si>
  <si>
    <t>020fb2dd-23f1-45d6-a2c7-f68ed625b6e7</t>
  </si>
  <si>
    <t>0a22740e-7602-4c2a-a048-e6420ca140c3</t>
  </si>
  <si>
    <t>a425bdd9-aa99-4694-b2cc-e32a94540790</t>
  </si>
  <si>
    <t>bb1f9f5f-0d6e-4cfd-a5a9-235b4b80484e</t>
  </si>
  <si>
    <t>25ba58f3-8673-4910-83ca-af4ca214f9d2</t>
  </si>
  <si>
    <t>113dce64-e159-4e7e-9d13-e0b6c9eccb94</t>
  </si>
  <si>
    <t>eb190f49-77ad-490f-931d-ccda305c7ba1</t>
  </si>
  <si>
    <t>5aff00a4-5870-4367-9c1e-c982a245bd19</t>
  </si>
  <si>
    <t>566726f4-ce33-46a4-899e-a9c1c1ecfd32</t>
  </si>
  <si>
    <t>36939547-8cff-4310-a356-58f9c82f1b3d</t>
  </si>
  <si>
    <t>b1b72230-bd5e-4a2c-8158-707e35243b4e</t>
  </si>
  <si>
    <t>fa64d984-ca38-46c0-aadc-f8cfd2b9c279</t>
  </si>
  <si>
    <t>43287e8a-2202-4069-9510-c914fd52a3d8</t>
  </si>
  <si>
    <t>4c893756-9c69-418c-9736-27c167a3bb06</t>
  </si>
  <si>
    <t>491716d1-934e-44bb-bbbd-99e248faa360</t>
  </si>
  <si>
    <t>1e312334-6fd4-4adb-a011-9a4338c82487</t>
  </si>
  <si>
    <t>17b744d6-4922-48fd-890b-db2f720f39e3</t>
  </si>
  <si>
    <t>cec2fdfb-4491-4cde-aa72-5c17e3ca658c</t>
  </si>
  <si>
    <t>14b5fda0-28d8-46a6-85b7-924539222ece</t>
  </si>
  <si>
    <t>6419547c-4ea2-48c6-9006-ff1e8879806a</t>
  </si>
  <si>
    <t>91a5a8bb-2280-414a-b4c1-768580056d08</t>
  </si>
  <si>
    <t>ce35d6e5-44aa-4634-afe3-e27b28ee1d33</t>
  </si>
  <si>
    <t>10c4e4ab-04ef-466f-bebe-28eb5c5fdd3e</t>
  </si>
  <si>
    <t>a8425849-33ca-4d25-9e25-c778755a0646</t>
  </si>
  <si>
    <t>47662d98-3090-4888-b1dd-06c3a131171c</t>
  </si>
  <si>
    <t>8eadefd8-573b-41fb-9af3-09e8769c8e0a</t>
  </si>
  <si>
    <t>f83bbd4f-8c82-4c09-b083-807736403872</t>
  </si>
  <si>
    <t>4951b811-e72a-4c77-bdfb-2c84a32cabdf</t>
  </si>
  <si>
    <t>54ff2491-0a2b-41d4-ac9e-b3e6af600101</t>
  </si>
  <si>
    <t>ff7d8d17-b705-43b0-bb51-0086859cd940</t>
  </si>
  <si>
    <t>c69d6da7-1057-4e50-865c-eac06eead3d7</t>
  </si>
  <si>
    <t>174f1c31-6ca4-40ff-b0f7-0570880323ac</t>
  </si>
  <si>
    <t>c7c1b764-717d-458d-a326-6ccee20bce7b</t>
  </si>
  <si>
    <t>fe5fc581-c80e-41ac-9561-c86bf3c87a81</t>
  </si>
  <si>
    <t>b11537d9-2405-467c-93f4-d3bb9b86ed10</t>
  </si>
  <si>
    <t>02a50720-bb14-4ea5-9704-76a461f2a816</t>
  </si>
  <si>
    <t>5cf9edfb-ac48-4dbb-a4e0-0d4ff1a92bf2</t>
  </si>
  <si>
    <t>5b618ad5-534f-498a-86a3-7d19e83d8f0a</t>
  </si>
  <si>
    <t>110e67b2-e8cc-4c0e-ac9e-9b2b4f545704</t>
  </si>
  <si>
    <t>e03cd364-f195-40bf-8ee3-7bf2e794fd5e</t>
  </si>
  <si>
    <t>04930f16-333e-48e9-85e0-1a976470d8d7</t>
  </si>
  <si>
    <t>91b01570-a2d5-4e7a-9b3a-bd65d2802430</t>
  </si>
  <si>
    <t>4b1a2945-80c0-42bf-9824-ab31ceec7d54</t>
  </si>
  <si>
    <t>ae8b039b-481a-4694-be95-452519683a97</t>
  </si>
  <si>
    <t>f02c2877-0a74-4d88-a463-0c3da1d01132</t>
  </si>
  <si>
    <t>308411cd-132c-4593-b5ec-164226cc5b15</t>
  </si>
  <si>
    <t>0fa4bd94-1274-47e5-b4c5-ff28c187c482</t>
  </si>
  <si>
    <t>f5f455c9-ffd7-463d-a209-9eec40040806</t>
  </si>
  <si>
    <t>aa4de7b3-bb90-4261-8436-5f917895f117</t>
  </si>
  <si>
    <t>fd7ef71c-920f-406c-ba1b-ba18fe009186</t>
  </si>
  <si>
    <t>b32e3574-562e-4ead-89b2-fd00c80084a5</t>
  </si>
  <si>
    <t>41e55303-cc2c-4a7e-b6f8-e55071e29ff2</t>
  </si>
  <si>
    <t>f9292b3f-e5db-4b48-af74-6a8e2e13fcfb</t>
  </si>
  <si>
    <t>12dfa3a8-e4b2-48e6-9607-2ff063d7d2ed</t>
  </si>
  <si>
    <t>d16201b8-49fb-46ac-92b3-4011eaee3c8d</t>
  </si>
  <si>
    <t>3e24a4bc-9026-4ad1-9042-c233c050d08f</t>
  </si>
  <si>
    <t>1afc761a-a9f5-419c-9d09-dbe16b33a9ee</t>
  </si>
  <si>
    <t>dfb6f107-3643-42a7-89cd-5832708b653e</t>
  </si>
  <si>
    <t>6601f335-c0ce-4e47-a4a3-b265bae217ba</t>
  </si>
  <si>
    <t>f87ced4f-6dea-4f7c-871a-88345e66e029</t>
  </si>
  <si>
    <t>655bd6ae-5673-45f9-b00e-78be1bdf3d94</t>
  </si>
  <si>
    <t>dfbdca43-d5d0-42bd-97bf-c876521427f3</t>
  </si>
  <si>
    <t>98a8f3fb-a8ac-432b-9e07-694f0799d8fc</t>
  </si>
  <si>
    <t>ecdee356-1775-417b-929e-7d245fe82ea1</t>
  </si>
  <si>
    <t>eb2824e2-397d-4831-90e3-cd32046fc384</t>
  </si>
  <si>
    <t>488a885a-c67c-437a-ac29-0690ea589dde</t>
  </si>
  <si>
    <t>ff9b6aa6-9bbe-42be-9db8-b000e2d00da0</t>
  </si>
  <si>
    <t>459e556c-3948-4ebf-83a1-ff5d2f015fe9</t>
  </si>
  <si>
    <t>89b3d365-dcda-4dab-9aa8-f6dcf0ab86e1</t>
  </si>
  <si>
    <t>0d580aed-d820-43ed-89c2-9baff6a2b66d</t>
  </si>
  <si>
    <t>5e6c4f52-c64f-44f7-b631-3056bdddf94e</t>
  </si>
  <si>
    <t>1ae2aa31-c9e8-465e-b11e-d96b92b73d6d</t>
  </si>
  <si>
    <t>69f13d34-7efd-4893-9aa5-b65a00679d26</t>
  </si>
  <si>
    <t>81afe7b8-8b78-4cdc-96fe-0c9ef63f7ace</t>
  </si>
  <si>
    <t>d0dba772-4e17-4699-b868-9fa06c1f4388</t>
  </si>
  <si>
    <t>04003149-35e4-4cf8-b3ee-af5edb6f1495</t>
  </si>
  <si>
    <t>9d716d82-3d4a-4efc-af67-951516bef323</t>
  </si>
  <si>
    <t>1181a619-5d5f-4b8d-ac0f-9ac0e584643f</t>
  </si>
  <si>
    <t>d18f40e6-1ef9-4550-826e-f76c6c07154c</t>
  </si>
  <si>
    <t>31699b2a-0891-44ca-a176-09609967e56f</t>
  </si>
  <si>
    <t>67a9fb9e-80cc-4db4-a0e3-98b1bf8dd7a8</t>
  </si>
  <si>
    <t>8cc28bc7-938e-48b1-83fd-f86d9f7ea4e4</t>
  </si>
  <si>
    <t>b65f525d-cb3b-4448-b391-1077f18ca8ef</t>
  </si>
  <si>
    <t>b89018d3-291d-4013-8f6b-5901b49b0242</t>
  </si>
  <si>
    <t>6ac134d6-9ca7-4002-81e6-7a2940d2d25f</t>
  </si>
  <si>
    <t>d188ad35-6a25-49b0-9ea9-3b9540c27e36</t>
  </si>
  <si>
    <t>6492b445-9fb1-43f8-a4c7-f8b32b9cdcb3</t>
  </si>
  <si>
    <t>68c23942-df9f-4c03-b212-9eab7a24e12b</t>
  </si>
  <si>
    <t>fe5c85d4-abee-4293-b048-91a7364d3f2b</t>
  </si>
  <si>
    <t>36df09ce-525e-4b2c-8a36-7f70076a1f4b</t>
  </si>
  <si>
    <t>e1e1525a-7231-4950-8039-0ae3d6d1705f</t>
  </si>
  <si>
    <t>df55242f-8fb4-4af7-a972-f4b152d5d6be</t>
  </si>
  <si>
    <t>515430b1-18b4-4b9f-9c1b-c511e116d99c</t>
  </si>
  <si>
    <t>c0457649-cef0-4ae1-9835-c1c1d1aabc6f</t>
  </si>
  <si>
    <t>910465d3-e6d0-4ba7-a252-fefe0c77ecf1</t>
  </si>
  <si>
    <t>b967bbff-734d-40d5-9976-37232970c8d4</t>
  </si>
  <si>
    <t>c66c6145-6a86-4ca5-b660-61fbbd03fe46</t>
  </si>
  <si>
    <t>6bf6abf8-fbc2-4b79-a0e2-864bb3599317</t>
  </si>
  <si>
    <t>0c74fb30-9f88-48d2-a502-72873a82f3d8</t>
  </si>
  <si>
    <t>dbbbd40c-7776-439a-99d6-641f631966e6</t>
  </si>
  <si>
    <t>ddae06bf-758d-4669-9d9d-e8274a7a68b7</t>
  </si>
  <si>
    <t>f2ec5ba0-bbc0-445b-9211-157b186b3613</t>
  </si>
  <si>
    <t>289b1f8e-fd87-461d-824c-c755a34bc3e9</t>
  </si>
  <si>
    <t>3ec85b54-f67e-4a5e-805e-276c510bd348</t>
  </si>
  <si>
    <t>44495be8-01a0-4f66-b50c-525a8e70bd51</t>
  </si>
  <si>
    <t>73247b6d-52b4-4637-b95b-6a14eb388943</t>
  </si>
  <si>
    <t>beec5c1c-ef85-4ba2-a3b7-9d3ae692c55d</t>
  </si>
  <si>
    <t>c24a134b-49cd-4ca3-b260-e31864b5c6f8</t>
  </si>
  <si>
    <t>8c279586-e225-4087-83b6-27f2d5f021bb</t>
  </si>
  <si>
    <t>842f8167-28e6-47da-a2a7-813249a92f9c</t>
  </si>
  <si>
    <t>05510218-6592-493a-8ee0-e435696cd603</t>
  </si>
  <si>
    <t>7f0153e5-3d1b-4c29-a3a2-8fcbdbea8854</t>
  </si>
  <si>
    <t>7d1ccaa8-021d-4ee4-92f0-ce7b8e902363</t>
  </si>
  <si>
    <t>93bb3aa7-a44a-4b5a-94c5-c70d48732569</t>
  </si>
  <si>
    <t>5eda1f67-a344-4647-a021-70cb5ac653e7</t>
  </si>
  <si>
    <t>93a1aa7d-838e-4954-8ea3-419ab0b3a831</t>
  </si>
  <si>
    <t>c69465ea-094a-4aed-b0dc-d813baae9fe2</t>
  </si>
  <si>
    <t>b882fcbd-dac6-4106-a114-bf438bdbf097</t>
  </si>
  <si>
    <t>eb394cd6-6f25-4a29-aa69-c90301e758cb</t>
  </si>
  <si>
    <t>43de83d5-3315-4505-9326-4ae53a3ca223</t>
  </si>
  <si>
    <t>00eef458-7686-4a5d-8e14-415cfad36eea</t>
  </si>
  <si>
    <t>a1253296-b408-4b55-a62e-55b8cf577399</t>
  </si>
  <si>
    <t>23318e22-76c3-4e5f-9cff-6d454bc5c4f4</t>
  </si>
  <si>
    <t>3b9c16ed-c757-497f-b8cb-c45879052610</t>
  </si>
  <si>
    <t>e86eb246-4145-41da-9ac4-8995b3455372</t>
  </si>
  <si>
    <t>af08f166-1aeb-42da-b95a-a8a3cdf252d8</t>
  </si>
  <si>
    <t>80bf216e-3ba9-4668-b9d9-46b5107e5c3d</t>
  </si>
  <si>
    <t>38dbd019-a08c-444c-926a-a93fab528fd3</t>
  </si>
  <si>
    <t>674d2840-b910-4b76-a7be-5680c5e1c45c</t>
  </si>
  <si>
    <t>e67e2a1d-57c2-4ef3-9507-c2be97a2f47f</t>
  </si>
  <si>
    <t>ea6ab914-70df-4a0e-90dc-2fcc79602da5</t>
  </si>
  <si>
    <t>39889909-f24d-495d-8280-4b96f03e582f</t>
  </si>
  <si>
    <t>88fa21a1-5b4c-4331-8669-a71419c593c8</t>
  </si>
  <si>
    <t>ab5166a6-ea7d-4473-89df-46ffec1ecaaa</t>
  </si>
  <si>
    <t>e04e15ed-9ac9-4178-b2e6-202122a3b49a</t>
  </si>
  <si>
    <t>b82ff6c3-b0e1-458f-a5dd-a4b0351f1eb7</t>
  </si>
  <si>
    <t>2b055a7a-40b6-454a-a29b-1d923c4563ae</t>
  </si>
  <si>
    <t>e1470b4d-b2d9-4a5e-933e-9f18fa3dca30</t>
  </si>
  <si>
    <t>7574ed70-26f8-41f6-8adb-416ebfe45fbb</t>
  </si>
  <si>
    <t>0f05d1ae-eb15-43cb-8e23-72b4cbb548c1</t>
  </si>
  <si>
    <t>4e5ccec3-d8e7-45fb-96da-4ee989247cc1</t>
  </si>
  <si>
    <t>5a16a700-0255-40c2-b429-6ca431a7b571</t>
  </si>
  <si>
    <t>1a62f410-0b4a-4607-9ae7-3d99ba44f3f7</t>
  </si>
  <si>
    <t>50ef4bca-563f-4bfe-8590-b83532eb8175</t>
  </si>
  <si>
    <t>b34043e3-b04d-410e-9ae7-418afb76d2f3</t>
  </si>
  <si>
    <t>9a36e236-f336-4528-88d5-4ef9ba432a98</t>
  </si>
  <si>
    <t>f8abbfdd-0d8d-4d5a-9183-31531d445cfe</t>
  </si>
  <si>
    <t>ea8e9d9e-8b26-4e85-a229-908c977c9abb</t>
  </si>
  <si>
    <t>3183b411-97aa-4fdb-9a49-7b0c3fc855e7</t>
  </si>
  <si>
    <t>d3d55b62-1433-4ca2-b800-62b9d6d03ffd</t>
  </si>
  <si>
    <t>d45769c8-e53d-481f-8992-7b727952e224</t>
  </si>
  <si>
    <t>c6137ac9-23b4-4a6f-8c58-7633cbcde7cb</t>
  </si>
  <si>
    <t>0df1a3f8-baa3-4203-aa68-2a7dbf9a9734</t>
  </si>
  <si>
    <t>0c671df2-a836-4fe4-891b-8ba4c67c9285</t>
  </si>
  <si>
    <t>ba7ab0bf-97e4-4e4e-b685-745c32388728</t>
  </si>
  <si>
    <t>2cf0601d-2a63-4fec-af79-1b5832db68d1</t>
  </si>
  <si>
    <t>44a3acbc-9186-4835-8a84-ecf73f63aa69</t>
  </si>
  <si>
    <t>c3ddc407-f8ae-4342-8fde-aab9dd75846c</t>
  </si>
  <si>
    <t>d740d44b-43c7-4078-b50f-2ac7c8844d90</t>
  </si>
  <si>
    <t>138ce4cb-cbb8-4fe7-8b97-b97edefffdc3</t>
  </si>
  <si>
    <t>e7210748-8f90-45a4-b9a4-1aa621a6ee4f</t>
  </si>
  <si>
    <t>cbfd1b97-6303-431b-a983-fd0c078e45d4</t>
  </si>
  <si>
    <t>fe9d27c5-5ce2-4755-8a89-ddbfebc8a6d6</t>
  </si>
  <si>
    <t>39e743a2-d3ce-470c-95ca-d79e4df7c340</t>
  </si>
  <si>
    <t>f414a32d-ea9a-412e-9bcf-9a265d2abf4f</t>
  </si>
  <si>
    <t>9edef337-caee-43dc-b839-20bd724fae58</t>
  </si>
  <si>
    <t>ff8bc6b3-644a-48fb-b6f1-bd8679b9e61f</t>
  </si>
  <si>
    <t>1f43854c-51ad-461c-9672-e93928b6e217</t>
  </si>
  <si>
    <t>978ad17c-c211-403b-9838-3f3e3f0fffb7</t>
  </si>
  <si>
    <t>28a60798-cf5f-4e6f-a937-e538ecde7d14</t>
  </si>
  <si>
    <t>f521cc52-052d-436a-b1d9-dab77c2e4b18</t>
  </si>
  <si>
    <t>0111b68d-6833-40f6-aa97-129aa8d0db5e</t>
  </si>
  <si>
    <t>20e017b3-abbb-4ae7-a219-4a5ddf95aa36</t>
  </si>
  <si>
    <t>4072c576-19b8-4e50-add3-dcc3ff0e7bed</t>
  </si>
  <si>
    <t>1f18b93f-dd3c-43e5-a675-833ba3745f1b</t>
  </si>
  <si>
    <t>4b5300b2-caca-43ff-9812-5ece7d96cb57</t>
  </si>
  <si>
    <t>1e1100a3-fd97-401e-9f0a-0de898b2c145</t>
  </si>
  <si>
    <t>dd1513e2-4fa9-4081-a947-434d3df8321d</t>
  </si>
  <si>
    <t>d34826a1-0445-4b9b-81ea-a60250ec03da</t>
  </si>
  <si>
    <t>b51327be-0e08-4f97-abde-50a0253e63f3</t>
  </si>
  <si>
    <t>cfc96cdc-815a-4138-a9e6-a282f51c797b</t>
  </si>
  <si>
    <t>0a693eb9-fa8d-4790-967f-e15b82619201</t>
  </si>
  <si>
    <t>147b7d87-dbd3-4355-a42e-117ffdfbedbb</t>
  </si>
  <si>
    <t>0c379398-d6cb-43e2-a58e-6d5af05aa6f8</t>
  </si>
  <si>
    <t>6f13f784-4797-45c1-b9ab-e0a1b9f44cd7</t>
  </si>
  <si>
    <t>d306fdb7-9009-47a2-8f7a-501eb4a9d0e9</t>
  </si>
  <si>
    <t>9590df60-716c-4ddf-b89f-e9abb8d37b71</t>
  </si>
  <si>
    <t>d5eba5db-4205-492f-a3f4-d000d50c932c</t>
  </si>
  <si>
    <t>2b9ce9d9-1eab-4ace-a377-4d6878af3940</t>
  </si>
  <si>
    <t>e25a690d-e273-4b9d-9dcd-8f043adb2803</t>
  </si>
  <si>
    <t>1ab65816-0098-43ba-bc6a-607b938f08c2</t>
  </si>
  <si>
    <t>823b2996-4c09-42f7-8615-3416cf94bfd2</t>
  </si>
  <si>
    <t>d3a1eca6-557d-4374-b03a-a3d4a685129d</t>
  </si>
  <si>
    <t>4eeac773-7f58-4099-b6dd-e1f84c105068</t>
  </si>
  <si>
    <t>62f56a29-7f1b-491c-9c77-df1250e87e28</t>
  </si>
  <si>
    <t>7bf0a25a-76fe-49d6-a2c9-e9dfdd5dd6ee</t>
  </si>
  <si>
    <t>9a3f4a56-d48d-4970-a840-c5f8ed450c88</t>
  </si>
  <si>
    <t>8e6309f0-e51d-4e92-af27-0b87a64b56db</t>
  </si>
  <si>
    <t>602f9971-e821-4188-a084-3482108f3f83</t>
  </si>
  <si>
    <t>13ba4405-db30-42be-a0c0-4c55dca1606e</t>
  </si>
  <si>
    <t>41be0fa6-e563-4bae-a44b-c77b2a5efa8d</t>
  </si>
  <si>
    <t>e6684325-ee24-4091-9bdf-b2210981b675</t>
  </si>
  <si>
    <t>8581bbce-7f22-4769-9226-1be9284f8520</t>
  </si>
  <si>
    <t>947e7904-ee65-4542-b4b4-e2c0a817aeec</t>
  </si>
  <si>
    <t>31e5a70f-237d-48e4-be43-6e6e820f5a04</t>
  </si>
  <si>
    <t>d0a4b726-23d2-4e15-9d69-9a228f62520f</t>
  </si>
  <si>
    <t>5a61d6a6-cded-48e3-8251-550cc8124b85</t>
  </si>
  <si>
    <t>9513463d-602f-47b6-989d-df91dd00565d</t>
  </si>
  <si>
    <t>ab7b161e-14dd-41a3-ad79-5b4fb50c1dff</t>
  </si>
  <si>
    <t>de144ff4-b01a-46fe-b18a-a944f297c675</t>
  </si>
  <si>
    <t>237e4811-ad85-41af-8e39-a706d73e798e</t>
  </si>
  <si>
    <t>8d1082b1-e2ef-40de-94a0-82052c2a042d</t>
  </si>
  <si>
    <t>2c60e58b-6799-42ca-a0c8-c6993aae0e97</t>
  </si>
  <si>
    <t>8097059a-0012-4c82-aae3-56143480f938</t>
  </si>
  <si>
    <t>252db2fb-0ccc-42b5-987b-232646bacdf9</t>
  </si>
  <si>
    <t>77195bfd-4603-41a8-b26d-f85c0c7534cd</t>
  </si>
  <si>
    <t>3d72c2e4-9fd1-4ac5-8641-5259bff9f51f</t>
  </si>
  <si>
    <t>0feac74e-d78a-4f5e-92b5-7880f71fe72f</t>
  </si>
  <si>
    <t>da991830-246c-47f4-81a2-dc34020fae10</t>
  </si>
  <si>
    <t>cf058e56-9b40-4001-9002-fc438724d829</t>
  </si>
  <si>
    <t>742424e3-7970-4a90-8c47-de3209a4b880</t>
  </si>
  <si>
    <t>044668fc-1e0f-4225-83f6-4f090f18e2eb</t>
  </si>
  <si>
    <t>10ff1f73-0e8f-450f-bbdb-38850f3e1078</t>
  </si>
  <si>
    <t>3a685e45-86ad-4d47-b24d-1a2b0456b34b</t>
  </si>
  <si>
    <t>134ef0ab-e301-456e-8109-2f3da5aa3385</t>
  </si>
  <si>
    <t>0e067b61-e1b7-47f8-93b5-d56059962c86</t>
  </si>
  <si>
    <t>d319560b-8441-4d4f-aa92-ca3659c5a6d1</t>
  </si>
  <si>
    <t>ba48f08b-0980-4d5b-bfb5-1bfa76271504</t>
  </si>
  <si>
    <t>311c426c-df41-44ce-8f7a-09d72b172513</t>
  </si>
  <si>
    <t>03cd9597-a7cb-4fb7-bbce-02fb999e266d</t>
  </si>
  <si>
    <t>562f8014-5846-41d9-952d-848022aa0ebe</t>
  </si>
  <si>
    <t>4f1e44a9-bc18-406b-b01f-be7d7208946c</t>
  </si>
  <si>
    <t>2064c017-8677-4489-a32d-2a6df2747729</t>
  </si>
  <si>
    <t>02716414-b3bf-410c-a071-1de0f59c7b9b</t>
  </si>
  <si>
    <t>79c0eb71-9ba1-4199-adac-8dc50429ca55</t>
  </si>
  <si>
    <t>03ff9124-750f-4e8f-9431-5370624108b8</t>
  </si>
  <si>
    <t>f19484fa-28c7-47d1-bafd-24e2398e35a6</t>
  </si>
  <si>
    <t>0b9ff4db-72d0-42b8-b491-78ab2a6fc908</t>
  </si>
  <si>
    <t>f2647426-d0d6-4e0f-99f1-1a4dcb858965</t>
  </si>
  <si>
    <t>c1dcf691-bdd2-4466-8386-c807e98def28</t>
  </si>
  <si>
    <t>c97b887c-b6d8-4a48-a349-1768e4f3a585</t>
  </si>
  <si>
    <t>8271b3db-81ed-46f5-afdc-b8d38bb1a2f2</t>
  </si>
  <si>
    <t>f7006e6d-13d0-42f6-b991-c3abc2037395</t>
  </si>
  <si>
    <t>d723ba6c-bfae-477e-98e7-fdcdd0150357</t>
  </si>
  <si>
    <t>ab9a0d16-41dd-4d0f-9a90-11f86cd91325</t>
  </si>
  <si>
    <t>2163b1a7-e8c0-4cd9-9ef8-b1e0753737eb</t>
  </si>
  <si>
    <t>d018d6c9-3722-4632-b315-203f18766b4e</t>
  </si>
  <si>
    <t>0dd899ad-6891-4964-8b6f-9078c1cd9311</t>
  </si>
  <si>
    <t>37a1a462-17d4-45ae-82b1-748c4414923b</t>
  </si>
  <si>
    <t>bf45a38c-b950-4892-97f6-93897f4de478</t>
  </si>
  <si>
    <t>93fe3cad-3a32-4aca-840f-f147f7e8ac06</t>
  </si>
  <si>
    <t>78f0e130-07f4-4613-96a2-94eabc861acd</t>
  </si>
  <si>
    <t>89b34cc8-6645-4c83-8e62-193eb9780f8c</t>
  </si>
  <si>
    <t>4658a3b9-063f-4a9e-a64f-4eb3a0a9f783</t>
  </si>
  <si>
    <t>a2c14eca-ca7e-42e0-9cf1-78a9f55e5c9d</t>
  </si>
  <si>
    <t>873654cc-ce2a-4a22-b72d-e82f0aaf71db</t>
  </si>
  <si>
    <t>27a88f71-acd8-460b-84fd-4395d5d96c81</t>
  </si>
  <si>
    <t>bfa7aef8-6ec6-44dd-a9ac-784d6c88a119</t>
  </si>
  <si>
    <t>fa15da99-73a3-4485-9690-829fa3d59d8d</t>
  </si>
  <si>
    <t>a9227143-39c3-490c-98f3-5b9754e4440f</t>
  </si>
  <si>
    <t>81513966-deab-4ec2-978a-1934e384a128</t>
  </si>
  <si>
    <t>00b74fc9-9b1c-4823-b43a-dc659570a8eb</t>
  </si>
  <si>
    <t>365a91e8-ef64-43a2-b2e9-cc4f0bc09b2d</t>
  </si>
  <si>
    <t>6c93a5d7-9e80-4a87-8fb2-ad812f8444ee</t>
  </si>
  <si>
    <t>7bbf9a26-6b15-4c87-b4fc-e2c3fb475541</t>
  </si>
  <si>
    <t>81da66fe-1cfb-4cb6-9d28-c3a9679893b9</t>
  </si>
  <si>
    <t>8aff68b9-047a-45ac-823f-a85abbb4263f</t>
  </si>
  <si>
    <t>9aed7f65-add7-40f8-81b0-231031c25cbc</t>
  </si>
  <si>
    <t>bff1adc4-a35d-4c49-9de2-48d465ebede1</t>
  </si>
  <si>
    <t>2bf2a3b3-efd0-4e70-831b-d4830aa1ea8a</t>
  </si>
  <si>
    <t>702715ab-50f1-4854-9f33-5f2a71773112</t>
  </si>
  <si>
    <t>115f7abd-d43c-41c4-af81-27757176e47d</t>
  </si>
  <si>
    <t>3bdb9069-c2ec-4eab-981a-4197abd7864d</t>
  </si>
  <si>
    <t>271c8137-971d-46b0-96ed-e8210feb8334</t>
  </si>
  <si>
    <t>f51637b0-f0bc-4f7f-9e92-724a2d492920</t>
  </si>
  <si>
    <t>e708caf7-6b13-4a84-9891-94163c3be57e</t>
  </si>
  <si>
    <t>d0ca85ec-5778-4fe8-9444-55ccbe3fd37e</t>
  </si>
  <si>
    <t>23afc889-0872-4019-bea0-faec3eb8660e</t>
  </si>
  <si>
    <t>4ad09754-60b9-443c-a269-bc17d7272153</t>
  </si>
  <si>
    <t>32784d7f-c349-4972-a906-d767b7d781ee</t>
  </si>
  <si>
    <t>b5f778cb-1037-4641-891d-7054ca0ab9d6</t>
  </si>
  <si>
    <t>d715714e-e196-4316-9647-8806357dafdd</t>
  </si>
  <si>
    <t>d24f5c5c-6b03-4e58-b917-d428720feca7</t>
  </si>
  <si>
    <t>5bdd4c63-7497-4628-a99f-ec8cf79a0377</t>
  </si>
  <si>
    <t>d0d99d90-52e4-4989-a276-c10838bd1918</t>
  </si>
  <si>
    <t>40496de0-e5fe-4949-ba29-5911f90d036b</t>
  </si>
  <si>
    <t>39773e65-d091-412f-b0c7-cd209cca0beb</t>
  </si>
  <si>
    <t>51f16662-ad49-425d-8f68-ab58da6f9896</t>
  </si>
  <si>
    <t>3256af96-143c-46a5-b453-9c54bac2d5e3</t>
  </si>
  <si>
    <t>0cf725c4-27dd-4f2b-9aeb-fcf3add652ac</t>
  </si>
  <si>
    <t>a7074d19-8d24-46c8-9fe0-c92580988020</t>
  </si>
  <si>
    <t>f9fa8c97-83cb-4145-960a-8da9b1d5b65f</t>
  </si>
  <si>
    <t>4a688be6-8040-407f-b4c2-b46907346feb</t>
  </si>
  <si>
    <t>c6ac3765-7362-4c5b-919d-ed90677237fb</t>
  </si>
  <si>
    <t>e9d2da49-30e6-486c-825b-24a210698cc7</t>
  </si>
  <si>
    <t>84bd8789-9e63-4cd3-b225-e1d1d2c70237</t>
  </si>
  <si>
    <t>c4ca3024-d968-4310-8376-356a672d7407</t>
  </si>
  <si>
    <t>0131e0b7-242b-4fe7-b407-c96a2ec27b51</t>
  </si>
  <si>
    <t>246c0cdc-8535-49af-84f3-f7e04a4472d5</t>
  </si>
  <si>
    <t>39980f23-dfa7-43ac-a586-8bd148edfafe</t>
  </si>
  <si>
    <t>9034ea9e-fd7e-4b95-90bc-d58607900225</t>
  </si>
  <si>
    <t>af232fb9-c0df-469b-be49-05869ce1ab0f</t>
  </si>
  <si>
    <t>ab6f68cd-2a88-4602-85ff-ee1a3731f5aa</t>
  </si>
  <si>
    <t>7b97efff-a6c2-4249-a6b6-4fa0305bd98c</t>
  </si>
  <si>
    <t>8c81f59d-cb23-4163-8a7e-3066b6037ec3</t>
  </si>
  <si>
    <t>6533dcc4-e2a7-4fe9-89cc-b1b83a9f8a36</t>
  </si>
  <si>
    <t>98d55742-37c6-4390-87ec-617de63be054</t>
  </si>
  <si>
    <t>7b8974a4-e7f2-443c-96ae-3a6898702ab4</t>
  </si>
  <si>
    <t>08363d09-5176-4fa9-a2aa-10f6f1d11d2d</t>
  </si>
  <si>
    <t>e1fbcbcd-c9c7-4442-b678-91f18651598a</t>
  </si>
  <si>
    <t>ebe23c0d-50af-443c-8487-576057e50f21</t>
  </si>
  <si>
    <t>36b866d6-2c80-4ea7-8533-0f99cf660f37</t>
  </si>
  <si>
    <t>8038ed2e-ba32-4256-9eb3-c52efc300ea1</t>
  </si>
  <si>
    <t>e1dcc406-21a7-4228-a1a7-6793075425dc</t>
  </si>
  <si>
    <t>7b44c3bc-baf9-4199-bf12-b51f44816f04</t>
  </si>
  <si>
    <t>f1acbda2-2db3-47ac-b773-178df0dcd8e0</t>
  </si>
  <si>
    <t>8416ace1-8f82-4a96-9504-49cdd6e0fa36</t>
  </si>
  <si>
    <t>529ddaf1-1376-4a6c-9a2e-b3343b9034cd</t>
  </si>
  <si>
    <t>12e94d87-181f-4aaf-9b93-3340256fbef0</t>
  </si>
  <si>
    <t>29586a21-1b14-4400-8464-58108cdade64</t>
  </si>
  <si>
    <t>82628e5c-4996-4376-b68f-d70d87bed6af</t>
  </si>
  <si>
    <t>da33a5a3-e819-4e89-b306-e8478112c265</t>
  </si>
  <si>
    <t>192f26b8-bf85-46a1-a5d7-6ee8a98e1541</t>
  </si>
  <si>
    <t>fdcdd052-845c-43c7-aa8b-3145ed543306</t>
  </si>
  <si>
    <t>30419034-5962-4b4a-a4ae-4a490079a43f</t>
  </si>
  <si>
    <t>91f4778f-ee0f-4c97-9395-6e0b9969028d</t>
  </si>
  <si>
    <t>035dd3e0-a631-451a-933d-f3acdaf4cf27</t>
  </si>
  <si>
    <t>42b18dbf-a66b-42f5-b864-77df174b6c8c</t>
  </si>
  <si>
    <t>ab5a9a9a-6c59-460e-8cf3-09677ed34ed4</t>
  </si>
  <si>
    <t>3f317a26-ac87-43a8-bcdd-03e06e074927</t>
  </si>
  <si>
    <t>b2911b52-971e-48be-bc9e-b52f913c93ab</t>
  </si>
  <si>
    <t>43b6e025-3ab3-4cf4-a18e-af422a02f1de</t>
  </si>
  <si>
    <t>15de7a1c-4a58-4fdc-9ace-c5439f3bf798</t>
  </si>
  <si>
    <t>f7833a81-c19c-41c8-97c7-d6b3bcd4f1e4</t>
  </si>
  <si>
    <t>0cbc0030-f70f-48fe-a352-53aa85c67bc1</t>
  </si>
  <si>
    <t>7d0f25d3-b438-4c9f-868f-3fdd2254692d</t>
  </si>
  <si>
    <t>f17d4508-5214-4b0e-a5fb-d043932a7b82</t>
  </si>
  <si>
    <t>affd4dc5-b435-434d-85ce-90df03ef34b2</t>
  </si>
  <si>
    <t>462bd94f-2e30-43fa-a657-3dd1a12b6a14</t>
  </si>
  <si>
    <t>2a08270c-f517-487e-aec1-352369998643</t>
  </si>
  <si>
    <t>081fc11b-0f63-4e42-a28e-c4d2058b5dfb</t>
  </si>
  <si>
    <t>d55e66ba-418b-4c03-a933-4d6f786f92ab</t>
  </si>
  <si>
    <t>8c7f5cf3-673e-40d5-ae65-556bdea800ec</t>
  </si>
  <si>
    <t>2f2d757a-21a2-4458-9b84-65b92fc21127</t>
  </si>
  <si>
    <t>5c984a87-2059-4f4c-ac45-69c6c95978cf</t>
  </si>
  <si>
    <t>dda14775-a632-4c2c-82bf-d0aa58e61ceb</t>
  </si>
  <si>
    <t>f36662c9-34f5-4b5b-823f-166d57ffaae4</t>
  </si>
  <si>
    <t>3027b670-5226-45db-8525-eb97232bf8b9</t>
  </si>
  <si>
    <t>c0c37eca-10d0-4480-8611-282da9e1ec29</t>
  </si>
  <si>
    <t>7faaf245-7c7b-4e77-8d5e-b88dc79bf29d</t>
  </si>
  <si>
    <t>6cbd3557-7056-45ef-a84b-3788f27681f4</t>
  </si>
  <si>
    <t>97edc3b3-0b13-4ef8-8a7a-f78ea8fd34fa</t>
  </si>
  <si>
    <t>7c9a7315-067e-4374-b32d-b0c26f3fb688</t>
  </si>
  <si>
    <t>93186520-e565-49ec-ba04-5d04d292eb21</t>
  </si>
  <si>
    <t>41d3f28a-46a7-4ac5-acd6-078612956fbb</t>
  </si>
  <si>
    <t>86d89028-eedd-4c90-9994-88d22079d0a3</t>
  </si>
  <si>
    <t>32962577-b0da-4fb7-b151-f72578bacb46</t>
  </si>
  <si>
    <t>3a916b44-662c-466c-ad76-f6531d09b33c</t>
  </si>
  <si>
    <t>4c4f5517-0776-4b0f-a45f-bcbf4a0bc8f5</t>
  </si>
  <si>
    <t>b458111c-0628-4749-88bb-cd683c47a47b</t>
  </si>
  <si>
    <t>99b4c691-fd17-42c9-b72c-4563aad42655</t>
  </si>
  <si>
    <t>55f3fd4f-1efe-450b-9819-3cf08fd3fce5</t>
  </si>
  <si>
    <t>d656e07e-9e07-4bd9-807c-169371d50cde</t>
  </si>
  <si>
    <t>b1b10e1b-5da0-4142-abff-07feb0cf6c51</t>
  </si>
  <si>
    <t>acfa60e3-0721-4c03-aa44-dd790fdd56dd</t>
  </si>
  <si>
    <t>0b429a86-17f7-4807-8531-ab0bd737982c</t>
  </si>
  <si>
    <t>9a3c7af7-f069-40ee-9717-2474c34834d3</t>
  </si>
  <si>
    <t>cb742cec-e38e-4b9a-8f46-f791f8a6dfff</t>
  </si>
  <si>
    <t>f58f1839-c644-4d9e-b8b9-a5a5c07aecaf</t>
  </si>
  <si>
    <t>b0fdba88-f66e-44a9-864e-7cd2af4784fe</t>
  </si>
  <si>
    <t>e6804d8f-e2c0-4627-b4be-8ceba00baabb</t>
  </si>
  <si>
    <t>d339145b-b06e-47d8-8034-6fd41321673e</t>
  </si>
  <si>
    <t>22eb6dbc-cd76-4b18-980d-1b9606c606e7</t>
  </si>
  <si>
    <t>21ecaefe-a0f9-4cc4-b144-88272f08fa2e</t>
  </si>
  <si>
    <t>355077e5-e6f8-4758-afce-f8e63208c968</t>
  </si>
  <si>
    <t>6d3b5ddf-2611-459f-86bb-18b9480688b9</t>
  </si>
  <si>
    <t>2df1469c-1636-4ce1-8719-6f98f29a9b9f</t>
  </si>
  <si>
    <t>0e77889d-1e39-4404-99aa-e3b021ba7fd9</t>
  </si>
  <si>
    <t>9219d17c-d4ed-46b9-bed6-42209209bfe0</t>
  </si>
  <si>
    <t>d6d95564-edd9-4408-9d8d-bea00ea66975</t>
  </si>
  <si>
    <t>4b2b5ecb-502e-432c-80e6-c2c701e9e288</t>
  </si>
  <si>
    <t>8201a42c-17ce-4f88-92be-1d0f3d6d9ff0</t>
  </si>
  <si>
    <t>5dc49df8-e823-4a56-b005-94cf03249719</t>
  </si>
  <si>
    <t>d6b56eea-4fe8-446a-b39c-15f3b5b24c5e</t>
  </si>
  <si>
    <t>5c73df2a-1608-4800-952b-a9adb0b5df4d</t>
  </si>
  <si>
    <t>bc80b0f3-8690-42f0-89d9-ffcbf7ad7908</t>
  </si>
  <si>
    <t>0fe09c51-deeb-475e-83cf-9fead5925489</t>
  </si>
  <si>
    <t>7e60cf59-dd94-4718-bf7d-e68b17acd442</t>
  </si>
  <si>
    <t>NA</t>
  </si>
  <si>
    <t>Completed</t>
  </si>
  <si>
    <t>completed</t>
  </si>
  <si>
    <t>Row Labels</t>
  </si>
  <si>
    <t>Grand Total</t>
  </si>
  <si>
    <t>Count of Lead ID</t>
  </si>
  <si>
    <t>Sum of Sales Amount</t>
  </si>
  <si>
    <t>Column Labels</t>
  </si>
  <si>
    <t>Sales person</t>
  </si>
  <si>
    <t>Lead source</t>
  </si>
  <si>
    <t>Student type</t>
  </si>
  <si>
    <t>Data Analysis on Edutech data</t>
  </si>
  <si>
    <t>Fresher Total</t>
  </si>
  <si>
    <t>Student Total</t>
  </si>
  <si>
    <t>Working Professional Total</t>
  </si>
  <si>
    <t>date_validation</t>
  </si>
  <si>
    <t>date correction( first &amp; date of conversion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</si>
</sst>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yyyy"/>
    <numFmt numFmtId="166" formatCode="&quot;₹&quot;\ #,##0.00"/>
  </numFmts>
  <fonts count="6">
    <font>
      <sz val="10"/>
      <color rgb="FF000000"/>
      <name val="Arial"/>
      <scheme val="minor"/>
    </font>
    <font>
      <sz val="11"/>
      <color rgb="FF000000"/>
      <name val="&quot;Aptos Narrow&quot;"/>
    </font>
    <font>
      <sz val="9"/>
      <color rgb="FF000000"/>
      <name val="&quot;Aptos Narrow&quot;"/>
    </font>
    <font>
      <sz val="11"/>
      <color rgb="FF000000"/>
      <name val="Arial"/>
      <family val="2"/>
      <scheme val="minor"/>
    </font>
    <font>
      <sz val="24"/>
      <color rgb="FF000000"/>
      <name val="Times New Roman"/>
      <family val="1"/>
    </font>
    <font>
      <sz val="10"/>
      <color rgb="FF000000"/>
      <name val="Times New Roman"/>
      <family val="1"/>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164" fontId="1" fillId="0" borderId="0" xfId="0" applyNumberFormat="1" applyFont="1" applyAlignment="1">
      <alignment horizontal="right"/>
    </xf>
    <xf numFmtId="0" fontId="1" fillId="0" borderId="0" xfId="0" applyFont="1" applyAlignment="1">
      <alignment horizontal="right"/>
    </xf>
    <xf numFmtId="165" fontId="1" fillId="0" borderId="0" xfId="0" applyNumberFormat="1" applyFont="1" applyAlignment="1">
      <alignment horizontal="right"/>
    </xf>
    <xf numFmtId="0" fontId="2" fillId="0" borderId="0" xfId="0" applyFont="1"/>
    <xf numFmtId="0" fontId="2" fillId="0" borderId="0" xfId="0" applyFont="1" applyAlignment="1">
      <alignment horizontal="right"/>
    </xf>
    <xf numFmtId="164" fontId="1" fillId="0" borderId="0" xfId="0" applyNumberFormat="1" applyFont="1" applyAlignment="1">
      <alignment horizontal="left"/>
    </xf>
    <xf numFmtId="0" fontId="1" fillId="0" borderId="0" xfId="0" applyFont="1" applyAlignment="1">
      <alignment horizontal="left"/>
    </xf>
    <xf numFmtId="165" fontId="1" fillId="0" borderId="0" xfId="0" applyNumberFormat="1" applyFont="1" applyAlignment="1">
      <alignment horizontal="left"/>
    </xf>
    <xf numFmtId="0" fontId="3" fillId="0" borderId="0" xfId="0" applyFont="1"/>
    <xf numFmtId="0" fontId="1" fillId="0" borderId="0" xfId="0" applyFont="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cellXfs>
  <cellStyles count="1">
    <cellStyle name="Normal" xfId="0" builtinId="0"/>
  </cellStyles>
  <dxfs count="36">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4" formatCode="dd\-mm\-yyyy"/>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4" formatCode="dd\-mm\-yyyy"/>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1"/>
        <color rgb="FF000000"/>
        <name val="&quot;Aptos Narrow&quot;"/>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4" formatCode="dd\-mm\-yyyy"/>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4" formatCode="dd\-mm\-yyyy"/>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[Mock_Data.xlsx]pivote tables!sales performance</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Sales performance by sales person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'pivote tables'!$D$4:$D$8</c:f>
              <c:strCache>
                <c:ptCount val="4"/>
                <c:pt idx="0">
                  <c:v>John</c:v>
                </c:pt>
                <c:pt idx="1">
                  <c:v>Mary</c:v>
                </c:pt>
                <c:pt idx="2">
                  <c:v>Priya</c:v>
                </c:pt>
                <c:pt idx="3">
                  <c:v>Raj</c:v>
                </c:pt>
              </c:strCache>
            </c:strRef>
          </c:cat>
          <c:val>
            <c:numRef>
              <c:f>'pivote tables'!$E$4:$E$8</c:f>
              <c:numCache>
                <c:formatCode>"₹"\ #,##0.00</c:formatCode>
                <c:ptCount val="4"/>
                <c:pt idx="0">
                  <c:v>161087</c:v>
                </c:pt>
                <c:pt idx="1">
                  <c:v>152316</c:v>
                </c:pt>
                <c:pt idx="2">
                  <c:v>139759</c:v>
                </c:pt>
                <c:pt idx="3">
                  <c:v>167237</c:v>
                </c:pt>
              </c:numCache>
            </c:numRef>
          </c:val>
          <c:extLst>
            <c:ext xmlns:c16="http://schemas.microsoft.com/office/drawing/2014/chart" uri="{C3380CC4-5D6E-409C-BE32-E72D297353CC}">
              <c16:uniqueId val="{00000000-AB1F-49AD-B7D4-8845F8548546}"/>
            </c:ext>
          </c:extLst>
        </c:ser>
        <c:dLbls>
          <c:dLblPos val="outEnd"/>
          <c:showLegendKey val="0"/>
          <c:showVal val="1"/>
          <c:showCatName val="0"/>
          <c:showSerName val="0"/>
          <c:showPercent val="0"/>
          <c:showBubbleSize val="0"/>
        </c:dLbls>
        <c:gapWidth val="100"/>
        <c:overlap val="-24"/>
        <c:axId val="161520832"/>
        <c:axId val="161518912"/>
      </c:barChart>
      <c:catAx>
        <c:axId val="1615208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 persons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518912"/>
        <c:crosses val="autoZero"/>
        <c:auto val="1"/>
        <c:lblAlgn val="ctr"/>
        <c:lblOffset val="100"/>
        <c:noMultiLvlLbl val="0"/>
      </c:catAx>
      <c:valAx>
        <c:axId val="1615189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52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[Mock_Data.xlsx]pivote tables!Region</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No.of</a:t>
            </a:r>
            <a:r>
              <a:rPr lang="en-US" sz="1400" baseline="0">
                <a:solidFill>
                  <a:sysClr val="windowText" lastClr="000000"/>
                </a:solidFill>
              </a:rPr>
              <a:t> lead in a Region</a:t>
            </a:r>
            <a:endParaRPr lang="en-US" sz="1400">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tables'!$A$4:$A$8</c:f>
              <c:strCache>
                <c:ptCount val="4"/>
                <c:pt idx="0">
                  <c:v>East</c:v>
                </c:pt>
                <c:pt idx="1">
                  <c:v>North</c:v>
                </c:pt>
                <c:pt idx="2">
                  <c:v>South</c:v>
                </c:pt>
                <c:pt idx="3">
                  <c:v>West</c:v>
                </c:pt>
              </c:strCache>
            </c:strRef>
          </c:cat>
          <c:val>
            <c:numRef>
              <c:f>'pivote tables'!$B$4:$B$8</c:f>
              <c:numCache>
                <c:formatCode>General</c:formatCode>
                <c:ptCount val="4"/>
                <c:pt idx="0">
                  <c:v>126</c:v>
                </c:pt>
                <c:pt idx="1">
                  <c:v>116</c:v>
                </c:pt>
                <c:pt idx="2">
                  <c:v>118</c:v>
                </c:pt>
                <c:pt idx="3">
                  <c:v>140</c:v>
                </c:pt>
              </c:numCache>
            </c:numRef>
          </c:val>
          <c:extLst>
            <c:ext xmlns:c16="http://schemas.microsoft.com/office/drawing/2014/chart" uri="{C3380CC4-5D6E-409C-BE32-E72D297353CC}">
              <c16:uniqueId val="{00000000-D8D9-4506-8224-1734ACBBCF35}"/>
            </c:ext>
          </c:extLst>
        </c:ser>
        <c:dLbls>
          <c:dLblPos val="outEnd"/>
          <c:showLegendKey val="0"/>
          <c:showVal val="1"/>
          <c:showCatName val="0"/>
          <c:showSerName val="0"/>
          <c:showPercent val="0"/>
          <c:showBubbleSize val="0"/>
        </c:dLbls>
        <c:gapWidth val="100"/>
        <c:overlap val="-24"/>
        <c:axId val="36922096"/>
        <c:axId val="36919216"/>
      </c:barChart>
      <c:catAx>
        <c:axId val="36922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00" b="1">
                    <a:solidFill>
                      <a:schemeClr val="tx1"/>
                    </a:solidFill>
                  </a:rPr>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9216"/>
        <c:crosses val="autoZero"/>
        <c:auto val="1"/>
        <c:lblAlgn val="ctr"/>
        <c:lblOffset val="100"/>
        <c:noMultiLvlLbl val="0"/>
      </c:catAx>
      <c:valAx>
        <c:axId val="3691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00" b="1">
                    <a:solidFill>
                      <a:sysClr val="windowText" lastClr="000000"/>
                    </a:solidFill>
                  </a:rPr>
                  <a:t>No.Of Leads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[Mock_Data.xlsx]pivote tables!source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Lead</a:t>
            </a:r>
            <a:r>
              <a:rPr lang="en-IN" b="1" baseline="0">
                <a:solidFill>
                  <a:sysClr val="windowText" lastClr="000000"/>
                </a:solidFill>
              </a:rPr>
              <a:t> Source vs Lead Status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 tables'!$H$3:$H$4</c:f>
              <c:strCache>
                <c:ptCount val="1"/>
                <c:pt idx="0">
                  <c:v>Contacted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tables'!$G$5:$G$9</c:f>
              <c:strCache>
                <c:ptCount val="4"/>
                <c:pt idx="0">
                  <c:v>Google Ads</c:v>
                </c:pt>
                <c:pt idx="1">
                  <c:v>Organic</c:v>
                </c:pt>
                <c:pt idx="2">
                  <c:v>Referral</c:v>
                </c:pt>
                <c:pt idx="3">
                  <c:v>Social Media</c:v>
                </c:pt>
              </c:strCache>
            </c:strRef>
          </c:cat>
          <c:val>
            <c:numRef>
              <c:f>'pivote tables'!$H$5:$H$9</c:f>
              <c:numCache>
                <c:formatCode>General</c:formatCode>
                <c:ptCount val="4"/>
                <c:pt idx="0">
                  <c:v>44</c:v>
                </c:pt>
                <c:pt idx="1">
                  <c:v>42</c:v>
                </c:pt>
                <c:pt idx="2">
                  <c:v>40</c:v>
                </c:pt>
                <c:pt idx="3">
                  <c:v>38</c:v>
                </c:pt>
              </c:numCache>
            </c:numRef>
          </c:val>
          <c:extLst>
            <c:ext xmlns:c16="http://schemas.microsoft.com/office/drawing/2014/chart" uri="{C3380CC4-5D6E-409C-BE32-E72D297353CC}">
              <c16:uniqueId val="{00000000-E632-4D87-A1C6-3C5C548BD88C}"/>
            </c:ext>
          </c:extLst>
        </c:ser>
        <c:ser>
          <c:idx val="1"/>
          <c:order val="1"/>
          <c:tx>
            <c:strRef>
              <c:f>'pivote tables'!$I$3:$I$4</c:f>
              <c:strCache>
                <c:ptCount val="1"/>
                <c:pt idx="0">
                  <c:v>Converted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tables'!$G$5:$G$9</c:f>
              <c:strCache>
                <c:ptCount val="4"/>
                <c:pt idx="0">
                  <c:v>Google Ads</c:v>
                </c:pt>
                <c:pt idx="1">
                  <c:v>Organic</c:v>
                </c:pt>
                <c:pt idx="2">
                  <c:v>Referral</c:v>
                </c:pt>
                <c:pt idx="3">
                  <c:v>Social Media</c:v>
                </c:pt>
              </c:strCache>
            </c:strRef>
          </c:cat>
          <c:val>
            <c:numRef>
              <c:f>'pivote tables'!$I$5:$I$9</c:f>
              <c:numCache>
                <c:formatCode>General</c:formatCode>
                <c:ptCount val="4"/>
                <c:pt idx="0">
                  <c:v>48</c:v>
                </c:pt>
                <c:pt idx="1">
                  <c:v>42</c:v>
                </c:pt>
                <c:pt idx="2">
                  <c:v>36</c:v>
                </c:pt>
                <c:pt idx="3">
                  <c:v>51</c:v>
                </c:pt>
              </c:numCache>
            </c:numRef>
          </c:val>
          <c:extLst>
            <c:ext xmlns:c16="http://schemas.microsoft.com/office/drawing/2014/chart" uri="{C3380CC4-5D6E-409C-BE32-E72D297353CC}">
              <c16:uniqueId val="{00000016-E632-4D87-A1C6-3C5C548BD88C}"/>
            </c:ext>
          </c:extLst>
        </c:ser>
        <c:ser>
          <c:idx val="2"/>
          <c:order val="2"/>
          <c:tx>
            <c:strRef>
              <c:f>'pivote tables'!$J$3:$J$4</c:f>
              <c:strCache>
                <c:ptCount val="1"/>
                <c:pt idx="0">
                  <c:v>Lost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tables'!$G$5:$G$9</c:f>
              <c:strCache>
                <c:ptCount val="4"/>
                <c:pt idx="0">
                  <c:v>Google Ads</c:v>
                </c:pt>
                <c:pt idx="1">
                  <c:v>Organic</c:v>
                </c:pt>
                <c:pt idx="2">
                  <c:v>Referral</c:v>
                </c:pt>
                <c:pt idx="3">
                  <c:v>Social Media</c:v>
                </c:pt>
              </c:strCache>
            </c:strRef>
          </c:cat>
          <c:val>
            <c:numRef>
              <c:f>'pivote tables'!$J$5:$J$9</c:f>
              <c:numCache>
                <c:formatCode>General</c:formatCode>
                <c:ptCount val="4"/>
                <c:pt idx="0">
                  <c:v>34</c:v>
                </c:pt>
                <c:pt idx="1">
                  <c:v>39</c:v>
                </c:pt>
                <c:pt idx="2">
                  <c:v>37</c:v>
                </c:pt>
                <c:pt idx="3">
                  <c:v>49</c:v>
                </c:pt>
              </c:numCache>
            </c:numRef>
          </c:val>
          <c:extLst>
            <c:ext xmlns:c16="http://schemas.microsoft.com/office/drawing/2014/chart" uri="{C3380CC4-5D6E-409C-BE32-E72D297353CC}">
              <c16:uniqueId val="{00000017-E632-4D87-A1C6-3C5C548BD88C}"/>
            </c:ext>
          </c:extLst>
        </c:ser>
        <c:dLbls>
          <c:dLblPos val="ctr"/>
          <c:showLegendKey val="0"/>
          <c:showVal val="1"/>
          <c:showCatName val="0"/>
          <c:showSerName val="0"/>
          <c:showPercent val="0"/>
          <c:showBubbleSize val="0"/>
        </c:dLbls>
        <c:gapWidth val="182"/>
        <c:overlap val="100"/>
        <c:axId val="63860160"/>
        <c:axId val="63859200"/>
      </c:barChart>
      <c:catAx>
        <c:axId val="63860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Lead</a:t>
                </a:r>
                <a:r>
                  <a:rPr lang="en-IN" sz="1050" b="1" baseline="0">
                    <a:solidFill>
                      <a:sysClr val="windowText" lastClr="000000"/>
                    </a:solidFill>
                  </a:rPr>
                  <a:t> Source</a:t>
                </a:r>
                <a:endParaRPr lang="en-IN" sz="105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9200"/>
        <c:crosses val="autoZero"/>
        <c:auto val="1"/>
        <c:lblAlgn val="ctr"/>
        <c:lblOffset val="100"/>
        <c:noMultiLvlLbl val="0"/>
      </c:catAx>
      <c:valAx>
        <c:axId val="63859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Lead</a:t>
                </a:r>
                <a:r>
                  <a:rPr lang="en-IN" sz="1050" b="1" baseline="0">
                    <a:solidFill>
                      <a:sysClr val="windowText" lastClr="000000"/>
                    </a:solidFill>
                  </a:rPr>
                  <a:t> Status</a:t>
                </a:r>
                <a:endParaRPr lang="en-IN" sz="105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[Mock_Data.xlsx]pivote 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Sales</a:t>
            </a:r>
            <a:r>
              <a:rPr lang="en-US" sz="1400" b="1" baseline="0">
                <a:solidFill>
                  <a:sysClr val="windowText" lastClr="000000"/>
                </a:solidFill>
              </a:rPr>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645086030912802E-2"/>
          <c:y val="0.23446238439184383"/>
          <c:w val="0.65730242053076704"/>
          <c:h val="0.640314639077466"/>
        </c:manualLayout>
      </c:layout>
      <c:pie3DChart>
        <c:varyColors val="1"/>
        <c:ser>
          <c:idx val="0"/>
          <c:order val="0"/>
          <c:tx>
            <c:strRef>
              <c:f>'pivote tables'!$N$3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6F-461B-8764-231AC2CA7CF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6F-461B-8764-231AC2CA7CF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6F-461B-8764-231AC2CA7CF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36F-461B-8764-231AC2CA7CFC}"/>
              </c:ext>
            </c:extLst>
          </c:dPt>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tables'!$M$4:$M$8</c:f>
              <c:strCache>
                <c:ptCount val="4"/>
                <c:pt idx="0">
                  <c:v>East</c:v>
                </c:pt>
                <c:pt idx="1">
                  <c:v>North</c:v>
                </c:pt>
                <c:pt idx="2">
                  <c:v>South</c:v>
                </c:pt>
                <c:pt idx="3">
                  <c:v>West</c:v>
                </c:pt>
              </c:strCache>
            </c:strRef>
          </c:cat>
          <c:val>
            <c:numRef>
              <c:f>'pivote tables'!$N$4:$N$8</c:f>
              <c:numCache>
                <c:formatCode>General</c:formatCode>
                <c:ptCount val="4"/>
                <c:pt idx="0">
                  <c:v>156677</c:v>
                </c:pt>
                <c:pt idx="1">
                  <c:v>148218</c:v>
                </c:pt>
                <c:pt idx="2">
                  <c:v>140719</c:v>
                </c:pt>
                <c:pt idx="3">
                  <c:v>174785</c:v>
                </c:pt>
              </c:numCache>
            </c:numRef>
          </c:val>
          <c:extLst>
            <c:ext xmlns:c16="http://schemas.microsoft.com/office/drawing/2014/chart" uri="{C3380CC4-5D6E-409C-BE32-E72D297353CC}">
              <c16:uniqueId val="{00000008-036F-461B-8764-231AC2CA7CF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[Mock_Data.xlsx]pivote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Student</a:t>
            </a:r>
            <a:r>
              <a:rPr lang="en-US" sz="1400" b="1" baseline="0">
                <a:solidFill>
                  <a:sysClr val="windowText" lastClr="000000"/>
                </a:solidFill>
              </a:rPr>
              <a:t> type</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'pivote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F9-4407-865B-438DEB2703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F9-4407-865B-438DEB2703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F9-4407-865B-438DEB27031F}"/>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tables'!$A$13:$A$16</c:f>
              <c:strCache>
                <c:ptCount val="3"/>
                <c:pt idx="0">
                  <c:v>Fresher</c:v>
                </c:pt>
                <c:pt idx="1">
                  <c:v>Student</c:v>
                </c:pt>
                <c:pt idx="2">
                  <c:v>Working Professional</c:v>
                </c:pt>
              </c:strCache>
            </c:strRef>
          </c:cat>
          <c:val>
            <c:numRef>
              <c:f>'pivote tables'!$B$13:$B$16</c:f>
              <c:numCache>
                <c:formatCode>General</c:formatCode>
                <c:ptCount val="3"/>
                <c:pt idx="0">
                  <c:v>153</c:v>
                </c:pt>
                <c:pt idx="1">
                  <c:v>189</c:v>
                </c:pt>
                <c:pt idx="2">
                  <c:v>158</c:v>
                </c:pt>
              </c:numCache>
            </c:numRef>
          </c:val>
          <c:extLst>
            <c:ext xmlns:c16="http://schemas.microsoft.com/office/drawing/2014/chart" uri="{C3380CC4-5D6E-409C-BE32-E72D297353CC}">
              <c16:uniqueId val="{00000006-8BF9-4407-865B-438DEB2703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[Mock_Data.xlsx]pivote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Course</a:t>
            </a:r>
            <a:r>
              <a:rPr lang="en-IN" sz="1200" b="1" baseline="0">
                <a:solidFill>
                  <a:sysClr val="windowText" lastClr="000000"/>
                </a:solidFill>
              </a:rPr>
              <a:t> Type vs no.of leads</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 tables'!$B$23:$B$24</c:f>
              <c:strCache>
                <c:ptCount val="1"/>
                <c:pt idx="0">
                  <c:v>Contacted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tables'!$A$25:$A$29</c:f>
              <c:strCache>
                <c:ptCount val="4"/>
                <c:pt idx="0">
                  <c:v>Data Analytics</c:v>
                </c:pt>
                <c:pt idx="1">
                  <c:v>Java Full Stack</c:v>
                </c:pt>
                <c:pt idx="2">
                  <c:v>Power BI</c:v>
                </c:pt>
                <c:pt idx="3">
                  <c:v>Salesforce</c:v>
                </c:pt>
              </c:strCache>
            </c:strRef>
          </c:cat>
          <c:val>
            <c:numRef>
              <c:f>'pivote tables'!$B$25:$B$29</c:f>
              <c:numCache>
                <c:formatCode>General</c:formatCode>
                <c:ptCount val="4"/>
                <c:pt idx="0">
                  <c:v>41</c:v>
                </c:pt>
                <c:pt idx="1">
                  <c:v>37</c:v>
                </c:pt>
                <c:pt idx="2">
                  <c:v>46</c:v>
                </c:pt>
                <c:pt idx="3">
                  <c:v>40</c:v>
                </c:pt>
              </c:numCache>
            </c:numRef>
          </c:val>
          <c:extLst>
            <c:ext xmlns:c16="http://schemas.microsoft.com/office/drawing/2014/chart" uri="{C3380CC4-5D6E-409C-BE32-E72D297353CC}">
              <c16:uniqueId val="{00000000-3C9A-4C63-AFB7-6448DB9E03EB}"/>
            </c:ext>
          </c:extLst>
        </c:ser>
        <c:ser>
          <c:idx val="1"/>
          <c:order val="1"/>
          <c:tx>
            <c:strRef>
              <c:f>'pivote tables'!$C$23:$C$24</c:f>
              <c:strCache>
                <c:ptCount val="1"/>
                <c:pt idx="0">
                  <c:v>Converted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tables'!$A$25:$A$29</c:f>
              <c:strCache>
                <c:ptCount val="4"/>
                <c:pt idx="0">
                  <c:v>Data Analytics</c:v>
                </c:pt>
                <c:pt idx="1">
                  <c:v>Java Full Stack</c:v>
                </c:pt>
                <c:pt idx="2">
                  <c:v>Power BI</c:v>
                </c:pt>
                <c:pt idx="3">
                  <c:v>Salesforce</c:v>
                </c:pt>
              </c:strCache>
            </c:strRef>
          </c:cat>
          <c:val>
            <c:numRef>
              <c:f>'pivote tables'!$C$25:$C$29</c:f>
              <c:numCache>
                <c:formatCode>General</c:formatCode>
                <c:ptCount val="4"/>
                <c:pt idx="0">
                  <c:v>52</c:v>
                </c:pt>
                <c:pt idx="1">
                  <c:v>38</c:v>
                </c:pt>
                <c:pt idx="2">
                  <c:v>37</c:v>
                </c:pt>
                <c:pt idx="3">
                  <c:v>50</c:v>
                </c:pt>
              </c:numCache>
            </c:numRef>
          </c:val>
          <c:extLst>
            <c:ext xmlns:c16="http://schemas.microsoft.com/office/drawing/2014/chart" uri="{C3380CC4-5D6E-409C-BE32-E72D297353CC}">
              <c16:uniqueId val="{00000008-3C9A-4C63-AFB7-6448DB9E03EB}"/>
            </c:ext>
          </c:extLst>
        </c:ser>
        <c:ser>
          <c:idx val="2"/>
          <c:order val="2"/>
          <c:tx>
            <c:strRef>
              <c:f>'pivote tables'!$D$23:$D$24</c:f>
              <c:strCache>
                <c:ptCount val="1"/>
                <c:pt idx="0">
                  <c:v>Lost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tables'!$A$25:$A$29</c:f>
              <c:strCache>
                <c:ptCount val="4"/>
                <c:pt idx="0">
                  <c:v>Data Analytics</c:v>
                </c:pt>
                <c:pt idx="1">
                  <c:v>Java Full Stack</c:v>
                </c:pt>
                <c:pt idx="2">
                  <c:v>Power BI</c:v>
                </c:pt>
                <c:pt idx="3">
                  <c:v>Salesforce</c:v>
                </c:pt>
              </c:strCache>
            </c:strRef>
          </c:cat>
          <c:val>
            <c:numRef>
              <c:f>'pivote tables'!$D$25:$D$29</c:f>
              <c:numCache>
                <c:formatCode>General</c:formatCode>
                <c:ptCount val="4"/>
                <c:pt idx="0">
                  <c:v>37</c:v>
                </c:pt>
                <c:pt idx="1">
                  <c:v>41</c:v>
                </c:pt>
                <c:pt idx="2">
                  <c:v>43</c:v>
                </c:pt>
                <c:pt idx="3">
                  <c:v>38</c:v>
                </c:pt>
              </c:numCache>
            </c:numRef>
          </c:val>
          <c:extLst>
            <c:ext xmlns:c16="http://schemas.microsoft.com/office/drawing/2014/chart" uri="{C3380CC4-5D6E-409C-BE32-E72D297353CC}">
              <c16:uniqueId val="{00000009-3C9A-4C63-AFB7-6448DB9E03EB}"/>
            </c:ext>
          </c:extLst>
        </c:ser>
        <c:dLbls>
          <c:dLblPos val="ctr"/>
          <c:showLegendKey val="0"/>
          <c:showVal val="1"/>
          <c:showCatName val="0"/>
          <c:showSerName val="0"/>
          <c:showPercent val="0"/>
          <c:showBubbleSize val="0"/>
        </c:dLbls>
        <c:gapWidth val="150"/>
        <c:overlap val="100"/>
        <c:axId val="421474656"/>
        <c:axId val="421475136"/>
      </c:barChart>
      <c:catAx>
        <c:axId val="421474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Course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75136"/>
        <c:crosses val="autoZero"/>
        <c:auto val="1"/>
        <c:lblAlgn val="ctr"/>
        <c:lblOffset val="100"/>
        <c:noMultiLvlLbl val="0"/>
      </c:catAx>
      <c:valAx>
        <c:axId val="421475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No.of Leads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7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59172</xdr:colOff>
      <xdr:row>21</xdr:row>
      <xdr:rowOff>47132</xdr:rowOff>
    </xdr:from>
    <xdr:to>
      <xdr:col>17</xdr:col>
      <xdr:colOff>363973</xdr:colOff>
      <xdr:row>37</xdr:row>
      <xdr:rowOff>109785</xdr:rowOff>
    </xdr:to>
    <xdr:graphicFrame macro="">
      <xdr:nvGraphicFramePr>
        <xdr:cNvPr id="12" name="Chart 2">
          <a:extLst>
            <a:ext uri="{FF2B5EF4-FFF2-40B4-BE49-F238E27FC236}">
              <a16:creationId xmlns:a16="http://schemas.microsoft.com/office/drawing/2014/main" id="{F27B92D7-67CF-0A8C-0512-43A40E62A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70367</xdr:colOff>
      <xdr:row>4</xdr:row>
      <xdr:rowOff>67499</xdr:rowOff>
    </xdr:from>
    <xdr:to>
      <xdr:col>9</xdr:col>
      <xdr:colOff>375168</xdr:colOff>
      <xdr:row>20</xdr:row>
      <xdr:rowOff>130151</xdr:rowOff>
    </xdr:to>
    <xdr:graphicFrame macro="">
      <xdr:nvGraphicFramePr>
        <xdr:cNvPr id="13" name="Chart 1">
          <a:extLst>
            <a:ext uri="{FF2B5EF4-FFF2-40B4-BE49-F238E27FC236}">
              <a16:creationId xmlns:a16="http://schemas.microsoft.com/office/drawing/2014/main" id="{1B9C980A-1FF4-DDF8-5F20-4F2BA94C5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56160</xdr:colOff>
      <xdr:row>4</xdr:row>
      <xdr:rowOff>68345</xdr:rowOff>
    </xdr:from>
    <xdr:to>
      <xdr:col>17</xdr:col>
      <xdr:colOff>360961</xdr:colOff>
      <xdr:row>20</xdr:row>
      <xdr:rowOff>129304</xdr:rowOff>
    </xdr:to>
    <xdr:graphicFrame macro="">
      <xdr:nvGraphicFramePr>
        <xdr:cNvPr id="14" name="Chart 1">
          <a:extLst>
            <a:ext uri="{FF2B5EF4-FFF2-40B4-BE49-F238E27FC236}">
              <a16:creationId xmlns:a16="http://schemas.microsoft.com/office/drawing/2014/main" id="{8C3372F0-B072-7FBC-E159-03209B992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56446</xdr:colOff>
      <xdr:row>21</xdr:row>
      <xdr:rowOff>32126</xdr:rowOff>
    </xdr:from>
    <xdr:to>
      <xdr:col>9</xdr:col>
      <xdr:colOff>376298</xdr:colOff>
      <xdr:row>37</xdr:row>
      <xdr:rowOff>112889</xdr:rowOff>
    </xdr:to>
    <xdr:graphicFrame macro="">
      <xdr:nvGraphicFramePr>
        <xdr:cNvPr id="15" name="Chart 2">
          <a:extLst>
            <a:ext uri="{FF2B5EF4-FFF2-40B4-BE49-F238E27FC236}">
              <a16:creationId xmlns:a16="http://schemas.microsoft.com/office/drawing/2014/main" id="{178801AD-014A-73C3-27F1-59C4CE101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25306</xdr:colOff>
      <xdr:row>22</xdr:row>
      <xdr:rowOff>25307</xdr:rowOff>
    </xdr:from>
    <xdr:to>
      <xdr:col>29</xdr:col>
      <xdr:colOff>19662</xdr:colOff>
      <xdr:row>30</xdr:row>
      <xdr:rowOff>18816</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E7945B0B-8933-FEC2-C4D2-E8F37F1608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017899" y="3797677"/>
              <a:ext cx="1828800" cy="1348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608566</xdr:colOff>
      <xdr:row>0</xdr:row>
      <xdr:rowOff>100566</xdr:rowOff>
    </xdr:from>
    <xdr:to>
      <xdr:col>28</xdr:col>
      <xdr:colOff>602921</xdr:colOff>
      <xdr:row>6</xdr:row>
      <xdr:rowOff>159927</xdr:rowOff>
    </xdr:to>
    <mc:AlternateContent xmlns:mc="http://schemas.openxmlformats.org/markup-compatibility/2006" xmlns:a14="http://schemas.microsoft.com/office/drawing/2010/main">
      <mc:Choice Requires="a14">
        <xdr:graphicFrame macro="">
          <xdr:nvGraphicFramePr>
            <xdr:cNvPr id="17" name="Lead Status 1">
              <a:extLst>
                <a:ext uri="{FF2B5EF4-FFF2-40B4-BE49-F238E27FC236}">
                  <a16:creationId xmlns:a16="http://schemas.microsoft.com/office/drawing/2014/main" id="{59B34644-2608-EBB1-9375-81C87F010BE0}"/>
                </a:ext>
              </a:extLst>
            </xdr:cNvPr>
            <xdr:cNvGraphicFramePr/>
          </xdr:nvGraphicFramePr>
          <xdr:xfrm>
            <a:off x="0" y="0"/>
            <a:ext cx="0" cy="0"/>
          </xdr:xfrm>
          <a:graphic>
            <a:graphicData uri="http://schemas.microsoft.com/office/drawing/2010/slicer">
              <sle:slicer xmlns:sle="http://schemas.microsoft.com/office/drawing/2010/slicer" name="Lead Status 1"/>
            </a:graphicData>
          </a:graphic>
        </xdr:graphicFrame>
      </mc:Choice>
      <mc:Fallback xmlns="">
        <xdr:sp macro="" textlink="">
          <xdr:nvSpPr>
            <xdr:cNvPr id="0" name=""/>
            <xdr:cNvSpPr>
              <a:spLocks noTextEdit="1"/>
            </xdr:cNvSpPr>
          </xdr:nvSpPr>
          <xdr:spPr>
            <a:xfrm>
              <a:off x="15989677" y="100566"/>
              <a:ext cx="1828800" cy="1122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15898</xdr:colOff>
      <xdr:row>15</xdr:row>
      <xdr:rowOff>91162</xdr:rowOff>
    </xdr:from>
    <xdr:to>
      <xdr:col>29</xdr:col>
      <xdr:colOff>10254</xdr:colOff>
      <xdr:row>21</xdr:row>
      <xdr:rowOff>94075</xdr:rowOff>
    </xdr:to>
    <mc:AlternateContent xmlns:mc="http://schemas.openxmlformats.org/markup-compatibility/2006" xmlns:a14="http://schemas.microsoft.com/office/drawing/2010/main">
      <mc:Choice Requires="a14">
        <xdr:graphicFrame macro="">
          <xdr:nvGraphicFramePr>
            <xdr:cNvPr id="18" name="Lead Source">
              <a:extLst>
                <a:ext uri="{FF2B5EF4-FFF2-40B4-BE49-F238E27FC236}">
                  <a16:creationId xmlns:a16="http://schemas.microsoft.com/office/drawing/2014/main" id="{C781182F-A003-5E4E-BE89-F0179025089D}"/>
                </a:ext>
              </a:extLst>
            </xdr:cNvPr>
            <xdr:cNvGraphicFramePr/>
          </xdr:nvGraphicFramePr>
          <xdr:xfrm>
            <a:off x="0" y="0"/>
            <a:ext cx="0" cy="0"/>
          </xdr:xfrm>
          <a:graphic>
            <a:graphicData uri="http://schemas.microsoft.com/office/drawing/2010/slicer">
              <sle:slicer xmlns:sle="http://schemas.microsoft.com/office/drawing/2010/slicer" name="Lead Source"/>
            </a:graphicData>
          </a:graphic>
        </xdr:graphicFrame>
      </mc:Choice>
      <mc:Fallback xmlns="">
        <xdr:sp macro="" textlink="">
          <xdr:nvSpPr>
            <xdr:cNvPr id="0" name=""/>
            <xdr:cNvSpPr>
              <a:spLocks noTextEdit="1"/>
            </xdr:cNvSpPr>
          </xdr:nvSpPr>
          <xdr:spPr>
            <a:xfrm>
              <a:off x="16008491" y="2678199"/>
              <a:ext cx="1828800" cy="1018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34714</xdr:colOff>
      <xdr:row>30</xdr:row>
      <xdr:rowOff>74130</xdr:rowOff>
    </xdr:from>
    <xdr:to>
      <xdr:col>29</xdr:col>
      <xdr:colOff>29070</xdr:colOff>
      <xdr:row>36</xdr:row>
      <xdr:rowOff>103481</xdr:rowOff>
    </xdr:to>
    <mc:AlternateContent xmlns:mc="http://schemas.openxmlformats.org/markup-compatibility/2006" xmlns:a14="http://schemas.microsoft.com/office/drawing/2010/main">
      <mc:Choice Requires="a14">
        <xdr:graphicFrame macro="">
          <xdr:nvGraphicFramePr>
            <xdr:cNvPr id="19" name="Student Type">
              <a:extLst>
                <a:ext uri="{FF2B5EF4-FFF2-40B4-BE49-F238E27FC236}">
                  <a16:creationId xmlns:a16="http://schemas.microsoft.com/office/drawing/2014/main" id="{0C812391-8E58-020F-8368-1A1BA62DC72A}"/>
                </a:ext>
              </a:extLst>
            </xdr:cNvPr>
            <xdr:cNvGraphicFramePr/>
          </xdr:nvGraphicFramePr>
          <xdr:xfrm>
            <a:off x="0" y="0"/>
            <a:ext cx="0" cy="0"/>
          </xdr:xfrm>
          <a:graphic>
            <a:graphicData uri="http://schemas.microsoft.com/office/drawing/2010/slicer">
              <sle:slicer xmlns:sle="http://schemas.microsoft.com/office/drawing/2010/slicer" name="Student Type"/>
            </a:graphicData>
          </a:graphic>
        </xdr:graphicFrame>
      </mc:Choice>
      <mc:Fallback xmlns="">
        <xdr:sp macro="" textlink="">
          <xdr:nvSpPr>
            <xdr:cNvPr id="0" name=""/>
            <xdr:cNvSpPr>
              <a:spLocks noTextEdit="1"/>
            </xdr:cNvSpPr>
          </xdr:nvSpPr>
          <xdr:spPr>
            <a:xfrm>
              <a:off x="16027307" y="5201167"/>
              <a:ext cx="1828800" cy="104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563598</xdr:colOff>
      <xdr:row>4</xdr:row>
      <xdr:rowOff>78176</xdr:rowOff>
    </xdr:from>
    <xdr:to>
      <xdr:col>25</xdr:col>
      <xdr:colOff>243746</xdr:colOff>
      <xdr:row>20</xdr:row>
      <xdr:rowOff>112042</xdr:rowOff>
    </xdr:to>
    <xdr:graphicFrame macro="">
      <xdr:nvGraphicFramePr>
        <xdr:cNvPr id="20" name="Chart 5">
          <a:extLst>
            <a:ext uri="{FF2B5EF4-FFF2-40B4-BE49-F238E27FC236}">
              <a16:creationId xmlns:a16="http://schemas.microsoft.com/office/drawing/2014/main" id="{C2FC99B3-FA06-93DE-1B81-9CFECDA13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4233</xdr:colOff>
      <xdr:row>21</xdr:row>
      <xdr:rowOff>47413</xdr:rowOff>
    </xdr:from>
    <xdr:to>
      <xdr:col>25</xdr:col>
      <xdr:colOff>295863</xdr:colOff>
      <xdr:row>37</xdr:row>
      <xdr:rowOff>81280</xdr:rowOff>
    </xdr:to>
    <xdr:graphicFrame macro="">
      <xdr:nvGraphicFramePr>
        <xdr:cNvPr id="21" name="Chart 6">
          <a:extLst>
            <a:ext uri="{FF2B5EF4-FFF2-40B4-BE49-F238E27FC236}">
              <a16:creationId xmlns:a16="http://schemas.microsoft.com/office/drawing/2014/main" id="{31AC19C7-E002-35B1-355A-09598FCD6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4609</xdr:colOff>
      <xdr:row>7</xdr:row>
      <xdr:rowOff>44121</xdr:rowOff>
    </xdr:from>
    <xdr:to>
      <xdr:col>28</xdr:col>
      <xdr:colOff>610446</xdr:colOff>
      <xdr:row>14</xdr:row>
      <xdr:rowOff>159926</xdr:rowOff>
    </xdr:to>
    <mc:AlternateContent xmlns:mc="http://schemas.openxmlformats.org/markup-compatibility/2006" xmlns:a14="http://schemas.microsoft.com/office/drawing/2010/main">
      <mc:Choice Requires="a14">
        <xdr:graphicFrame macro="">
          <xdr:nvGraphicFramePr>
            <xdr:cNvPr id="22" name="Course Type">
              <a:extLst>
                <a:ext uri="{FF2B5EF4-FFF2-40B4-BE49-F238E27FC236}">
                  <a16:creationId xmlns:a16="http://schemas.microsoft.com/office/drawing/2014/main" id="{38429C7D-DB23-ED06-9725-ECB415706826}"/>
                </a:ext>
              </a:extLst>
            </xdr:cNvPr>
            <xdr:cNvGraphicFramePr/>
          </xdr:nvGraphicFramePr>
          <xdr:xfrm>
            <a:off x="0" y="0"/>
            <a:ext cx="0" cy="0"/>
          </xdr:xfrm>
          <a:graphic>
            <a:graphicData uri="http://schemas.microsoft.com/office/drawing/2010/slicer">
              <sle:slicer xmlns:sle="http://schemas.microsoft.com/office/drawing/2010/slicer" name="Course Type"/>
            </a:graphicData>
          </a:graphic>
        </xdr:graphicFrame>
      </mc:Choice>
      <mc:Fallback xmlns="">
        <xdr:sp macro="" textlink="">
          <xdr:nvSpPr>
            <xdr:cNvPr id="0" name=""/>
            <xdr:cNvSpPr>
              <a:spLocks noTextEdit="1"/>
            </xdr:cNvSpPr>
          </xdr:nvSpPr>
          <xdr:spPr>
            <a:xfrm>
              <a:off x="15997202" y="1276491"/>
              <a:ext cx="1828800" cy="13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SNA" refreshedDate="45949.664348958337" createdVersion="8" refreshedVersion="8" minRefreshableVersion="3" recordCount="500" xr:uid="{E51705A5-812A-4344-BBBD-6C00EF258251}">
  <cacheSource type="worksheet">
    <worksheetSource name="Table13"/>
  </cacheSource>
  <cacheFields count="17">
    <cacheField name="Lead ID" numFmtId="0">
      <sharedItems/>
    </cacheField>
    <cacheField name="Lead Source" numFmtId="0">
      <sharedItems count="4">
        <s v="Organic"/>
        <s v="Referral"/>
        <s v="Social Media"/>
        <s v="Google Ads"/>
      </sharedItems>
    </cacheField>
    <cacheField name="Lead Status" numFmtId="0">
      <sharedItems count="3">
        <s v="Converted"/>
        <s v="Contacted"/>
        <s v="Lost"/>
      </sharedItems>
    </cacheField>
    <cacheField name="Date of Lead Generation" numFmtId="0">
      <sharedItems containsSemiMixedTypes="0" containsNonDate="0" containsDate="1" containsString="0" minDate="2025-01-01T00:00:00" maxDate="2025-10-17T00:00:00"/>
    </cacheField>
    <cacheField name="Date of Last Contact" numFmtId="0">
      <sharedItems containsSemiMixedTypes="0" containsNonDate="0" containsDate="1" containsString="0" minDate="2025-01-01T00:00:00" maxDate="2025-10-17T00:00:00"/>
    </cacheField>
    <cacheField name="Sales Amount" numFmtId="0">
      <sharedItems containsSemiMixedTypes="0" containsString="0" containsNumber="1" containsInteger="1" minValue="0" maxValue="4995"/>
    </cacheField>
    <cacheField name="Region" numFmtId="0">
      <sharedItems count="4">
        <s v="West"/>
        <s v="North"/>
        <s v="East"/>
        <s v="South"/>
      </sharedItems>
    </cacheField>
    <cacheField name="Salesperson" numFmtId="0">
      <sharedItems count="4">
        <s v="Priya"/>
        <s v="Mary"/>
        <s v="John"/>
        <s v="Raj"/>
      </sharedItems>
    </cacheField>
    <cacheField name="Conversion Date" numFmtId="0">
      <sharedItems containsDate="1" containsMixedTypes="1" minDate="2025-01-01T00:00:00" maxDate="2025-10-17T00:00:00"/>
    </cacheField>
    <cacheField name="Lead Qualification" numFmtId="0">
      <sharedItems/>
    </cacheField>
    <cacheField name="Course Type" numFmtId="0">
      <sharedItems count="4">
        <s v="Salesforce"/>
        <s v="Data Analytics"/>
        <s v="Java Full Stack"/>
        <s v="Power BI"/>
      </sharedItems>
    </cacheField>
    <cacheField name="Follow-up Status" numFmtId="0">
      <sharedItems/>
    </cacheField>
    <cacheField name="Marketing Campaign" numFmtId="0">
      <sharedItems/>
    </cacheField>
    <cacheField name="Lead Score" numFmtId="0">
      <sharedItems containsSemiMixedTypes="0" containsString="0" containsNumber="1" containsInteger="1" minValue="30" maxValue="95"/>
    </cacheField>
    <cacheField name="Student Type" numFmtId="0">
      <sharedItems count="3">
        <s v="Student"/>
        <s v="Working Professional"/>
        <s v="Fresher"/>
      </sharedItems>
    </cacheField>
    <cacheField name="check for dates" numFmtId="0">
      <sharedItems/>
    </cacheField>
    <cacheField name="date correction( first &amp; date of conversion)" numFmtId="0">
      <sharedItems/>
    </cacheField>
  </cacheFields>
  <extLst>
    <ext xmlns:x14="http://schemas.microsoft.com/office/spreadsheetml/2009/9/main" uri="{725AE2AE-9491-48be-B2B4-4EB974FC3084}">
      <x14:pivotCacheDefinition pivotCacheId="1244673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d57ca4ab-bef9-4e4c-8c94-3419a43fd6c7"/>
    <x v="0"/>
    <x v="0"/>
    <d v="2025-05-05T00:00:00"/>
    <d v="2025-06-13T00:00:00"/>
    <n v="4914"/>
    <x v="0"/>
    <x v="0"/>
    <d v="2025-09-11T00:00:00"/>
    <s v="Unqualified"/>
    <x v="0"/>
    <s v="No Follow-up"/>
    <s v="Google Ads Campaign"/>
    <n v="87"/>
    <x v="0"/>
    <s v="OK"/>
    <s v="OK"/>
  </r>
  <r>
    <s v="79f47ede-0eac-44d3-a839-db1460f381d4"/>
    <x v="1"/>
    <x v="1"/>
    <d v="2025-03-28T00:00:00"/>
    <d v="2025-02-07T00:00:00"/>
    <n v="0"/>
    <x v="1"/>
    <x v="1"/>
    <s v="NA"/>
    <s v="Qualified"/>
    <x v="1"/>
    <s v="No Follow-up"/>
    <s v="Organic Search"/>
    <n v="48"/>
    <x v="0"/>
    <s v="ERROR"/>
    <s v="OK"/>
  </r>
  <r>
    <s v="80194ef6-0215-4b39-b7f6-cae9e2f15e62"/>
    <x v="0"/>
    <x v="0"/>
    <d v="2025-02-13T00:00:00"/>
    <d v="2025-09-24T00:00:00"/>
    <n v="4571"/>
    <x v="2"/>
    <x v="2"/>
    <d v="2025-04-04T00:00:00"/>
    <s v="Unqualified"/>
    <x v="0"/>
    <s v="No Follow-up"/>
    <s v="Referral Program"/>
    <n v="61"/>
    <x v="0"/>
    <s v="OK"/>
    <s v="OK"/>
  </r>
  <r>
    <s v="a69e0f1f-e947-4785-9019-21417898987e"/>
    <x v="2"/>
    <x v="2"/>
    <d v="2025-09-05T00:00:00"/>
    <d v="2025-09-05T00:00:00"/>
    <n v="0"/>
    <x v="2"/>
    <x v="1"/>
    <s v="NA"/>
    <s v="Qualified"/>
    <x v="2"/>
    <s v="Follow-up Scheduled"/>
    <s v="Organic Search"/>
    <n v="47"/>
    <x v="0"/>
    <s v="OK"/>
    <s v="OK"/>
  </r>
  <r>
    <s v="cab9ce19-a08c-4892-8555-a5416ad2f566"/>
    <x v="2"/>
    <x v="0"/>
    <d v="2025-05-29T00:00:00"/>
    <d v="2025-09-08T00:00:00"/>
    <n v="2213"/>
    <x v="1"/>
    <x v="1"/>
    <d v="2025-02-26T00:00:00"/>
    <s v="Qualified"/>
    <x v="3"/>
    <s v="Completed"/>
    <s v="Facebook Ads"/>
    <n v="67"/>
    <x v="1"/>
    <s v="OK"/>
    <s v="ERROR"/>
  </r>
  <r>
    <s v="17223d9b-1508-4acd-ad38-dbb87c54b6bd"/>
    <x v="0"/>
    <x v="0"/>
    <d v="2025-09-01T00:00:00"/>
    <d v="2025-08-08T00:00:00"/>
    <n v="3988"/>
    <x v="3"/>
    <x v="3"/>
    <d v="2025-09-13T00:00:00"/>
    <s v="Qualified"/>
    <x v="3"/>
    <s v="No Follow-up"/>
    <s v="Organic Search"/>
    <n v="34"/>
    <x v="0"/>
    <s v="ERROR"/>
    <s v="OK"/>
  </r>
  <r>
    <s v="d1d9fa66-4f94-49ae-8dfe-818dbfbf0830"/>
    <x v="3"/>
    <x v="0"/>
    <d v="2025-05-08T00:00:00"/>
    <d v="2025-06-26T00:00:00"/>
    <n v="4796"/>
    <x v="2"/>
    <x v="0"/>
    <d v="2025-10-16T00:00:00"/>
    <s v="Unqualified"/>
    <x v="2"/>
    <s v="Completed"/>
    <s v="Referral Program"/>
    <n v="94"/>
    <x v="2"/>
    <s v="OK"/>
    <s v="OK"/>
  </r>
  <r>
    <s v="a35ff586-68bf-4b9c-bb05-ffb956f2b431"/>
    <x v="3"/>
    <x v="0"/>
    <d v="2025-07-12T00:00:00"/>
    <d v="2025-08-27T00:00:00"/>
    <n v="4181"/>
    <x v="2"/>
    <x v="3"/>
    <d v="2025-07-06T00:00:00"/>
    <s v="Qualified"/>
    <x v="3"/>
    <s v="No Follow-up"/>
    <s v="Google Ads Campaign"/>
    <n v="91"/>
    <x v="2"/>
    <s v="OK"/>
    <s v="ERROR"/>
  </r>
  <r>
    <s v="27903ba1-5fa8-4c4a-bba6-c8eccbfcd434"/>
    <x v="0"/>
    <x v="1"/>
    <d v="2025-09-20T00:00:00"/>
    <d v="2025-04-01T00:00:00"/>
    <n v="0"/>
    <x v="1"/>
    <x v="2"/>
    <s v="NA"/>
    <s v="Unqualified"/>
    <x v="2"/>
    <s v="Pending Follow-up"/>
    <s v="Referral Program"/>
    <n v="64"/>
    <x v="1"/>
    <s v="ERROR"/>
    <s v="OK"/>
  </r>
  <r>
    <s v="4a02e573-ba1e-488a-a98b-6e4bb96f9a2e"/>
    <x v="3"/>
    <x v="0"/>
    <d v="2025-05-07T00:00:00"/>
    <d v="2025-02-15T00:00:00"/>
    <n v="4750"/>
    <x v="1"/>
    <x v="1"/>
    <d v="2025-03-11T00:00:00"/>
    <s v="Qualified"/>
    <x v="0"/>
    <s v="No Follow-up"/>
    <s v="Organic Search"/>
    <n v="68"/>
    <x v="2"/>
    <s v="ERROR"/>
    <s v="ERROR"/>
  </r>
  <r>
    <s v="8a95c023-79ed-4047-871e-32a7f72ddbb6"/>
    <x v="3"/>
    <x v="2"/>
    <d v="2025-01-05T00:00:00"/>
    <d v="2025-01-05T00:00:00"/>
    <n v="0"/>
    <x v="0"/>
    <x v="1"/>
    <s v="NA"/>
    <s v="Unqualified"/>
    <x v="2"/>
    <s v="Contacted"/>
    <s v="Organic Search"/>
    <n v="61"/>
    <x v="1"/>
    <s v="OK"/>
    <s v="OK"/>
  </r>
  <r>
    <s v="637b6ccc-1899-4137-923f-4dae20dc8271"/>
    <x v="3"/>
    <x v="0"/>
    <d v="2025-02-10T00:00:00"/>
    <d v="2025-09-29T00:00:00"/>
    <n v="4541"/>
    <x v="0"/>
    <x v="0"/>
    <d v="2025-03-19T00:00:00"/>
    <s v="Qualified"/>
    <x v="3"/>
    <s v="No Follow-up"/>
    <s v="Facebook Ads"/>
    <n v="92"/>
    <x v="0"/>
    <s v="OK"/>
    <s v="OK"/>
  </r>
  <r>
    <s v="45ea686a-55ab-4099-a480-d0c6286c840c"/>
    <x v="1"/>
    <x v="1"/>
    <d v="2025-05-12T00:00:00"/>
    <d v="2025-05-27T00:00:00"/>
    <n v="0"/>
    <x v="0"/>
    <x v="3"/>
    <s v="NA"/>
    <s v="Qualified"/>
    <x v="2"/>
    <s v="Pending Follow-up"/>
    <s v="Facebook Ads"/>
    <n v="39"/>
    <x v="1"/>
    <s v="OK"/>
    <s v="OK"/>
  </r>
  <r>
    <s v="925c2a72-d106-4514-855f-c297e37c4618"/>
    <x v="3"/>
    <x v="0"/>
    <d v="2025-03-12T00:00:00"/>
    <d v="2025-02-26T00:00:00"/>
    <n v="2848"/>
    <x v="0"/>
    <x v="2"/>
    <d v="2025-10-02T00:00:00"/>
    <s v="Qualified"/>
    <x v="1"/>
    <s v="Completed"/>
    <s v="Referral Program"/>
    <n v="32"/>
    <x v="0"/>
    <s v="ERROR"/>
    <s v="OK"/>
  </r>
  <r>
    <s v="ab43ea01-a76b-4f64-9386-401ebc9be09c"/>
    <x v="1"/>
    <x v="2"/>
    <d v="2025-07-11T00:00:00"/>
    <d v="2025-07-11T00:00:00"/>
    <n v="0"/>
    <x v="3"/>
    <x v="1"/>
    <s v="NA"/>
    <s v="Qualified"/>
    <x v="0"/>
    <s v="Contacted"/>
    <s v="Organic Search"/>
    <n v="74"/>
    <x v="0"/>
    <s v="OK"/>
    <s v="OK"/>
  </r>
  <r>
    <s v="5c1b41dc-938e-48c5-9af9-9b2cfc8f5bd8"/>
    <x v="3"/>
    <x v="0"/>
    <d v="2025-06-21T00:00:00"/>
    <d v="2025-09-12T00:00:00"/>
    <n v="2902"/>
    <x v="3"/>
    <x v="3"/>
    <d v="2025-05-24T00:00:00"/>
    <s v="Qualified"/>
    <x v="2"/>
    <s v="Completed"/>
    <s v="Facebook Ads"/>
    <n v="57"/>
    <x v="0"/>
    <s v="OK"/>
    <s v="ERROR"/>
  </r>
  <r>
    <s v="2fcd2ca3-22a1-452b-8dea-e27db50cbe8d"/>
    <x v="0"/>
    <x v="0"/>
    <d v="2025-10-04T00:00:00"/>
    <d v="2025-01-31T00:00:00"/>
    <n v="3558"/>
    <x v="2"/>
    <x v="1"/>
    <d v="2025-06-27T00:00:00"/>
    <s v="Qualified"/>
    <x v="1"/>
    <s v="Completed"/>
    <s v="Google Ads Campaign"/>
    <n v="89"/>
    <x v="1"/>
    <s v="ERROR"/>
    <s v="ERROR"/>
  </r>
  <r>
    <s v="16717535-223d-45d6-9dc3-a6c7159ddc52"/>
    <x v="1"/>
    <x v="1"/>
    <d v="2025-03-08T00:00:00"/>
    <d v="2025-05-27T00:00:00"/>
    <n v="0"/>
    <x v="0"/>
    <x v="2"/>
    <s v="NA"/>
    <s v="Qualified"/>
    <x v="3"/>
    <s v="No Follow-up"/>
    <s v="Organic Search"/>
    <n v="74"/>
    <x v="1"/>
    <s v="OK"/>
    <s v="OK"/>
  </r>
  <r>
    <s v="07deb324-275c-4cea-9e54-28d8c965b7b4"/>
    <x v="1"/>
    <x v="2"/>
    <d v="2025-01-21T00:00:00"/>
    <d v="2025-01-21T00:00:00"/>
    <n v="0"/>
    <x v="3"/>
    <x v="3"/>
    <s v="NA"/>
    <s v="Unqualified"/>
    <x v="3"/>
    <s v="Contacted"/>
    <s v="Google Ads Campaign"/>
    <n v="94"/>
    <x v="0"/>
    <s v="OK"/>
    <s v="OK"/>
  </r>
  <r>
    <s v="ba306618-0d96-4070-b3be-9aa0d34034bb"/>
    <x v="0"/>
    <x v="1"/>
    <d v="2025-04-06T00:00:00"/>
    <d v="2025-07-06T00:00:00"/>
    <n v="0"/>
    <x v="3"/>
    <x v="2"/>
    <s v="NA"/>
    <s v="Qualified"/>
    <x v="0"/>
    <s v="Pending Follow-up"/>
    <s v="Referral Program"/>
    <n v="32"/>
    <x v="2"/>
    <s v="OK"/>
    <s v="OK"/>
  </r>
  <r>
    <s v="4e8de92a-5f74-4e06-9852-5ef25d10f823"/>
    <x v="3"/>
    <x v="2"/>
    <d v="2025-06-16T00:00:00"/>
    <d v="2025-06-16T00:00:00"/>
    <n v="0"/>
    <x v="2"/>
    <x v="3"/>
    <s v="NA"/>
    <s v="Unqualified"/>
    <x v="3"/>
    <s v="Follow-up Scheduled"/>
    <s v="Google Ads Campaign"/>
    <n v="59"/>
    <x v="0"/>
    <s v="OK"/>
    <s v="OK"/>
  </r>
  <r>
    <s v="870eb38e-4632-4b34-baf7-f1dba0f5ba40"/>
    <x v="3"/>
    <x v="2"/>
    <d v="2025-08-15T00:00:00"/>
    <d v="2025-08-15T00:00:00"/>
    <n v="0"/>
    <x v="0"/>
    <x v="2"/>
    <s v="NA"/>
    <s v="Qualified"/>
    <x v="1"/>
    <s v="Contacted"/>
    <s v="Organic Search"/>
    <n v="60"/>
    <x v="1"/>
    <s v="OK"/>
    <s v="OK"/>
  </r>
  <r>
    <s v="0d067572-b58c-404f-87c4-f4ee3d79d912"/>
    <x v="0"/>
    <x v="2"/>
    <d v="2025-03-10T00:00:00"/>
    <d v="2025-03-10T00:00:00"/>
    <n v="0"/>
    <x v="3"/>
    <x v="2"/>
    <s v="NA"/>
    <s v="Unqualified"/>
    <x v="1"/>
    <s v="Follow-up Scheduled"/>
    <s v="Referral Program"/>
    <n v="49"/>
    <x v="1"/>
    <s v="OK"/>
    <s v="OK"/>
  </r>
  <r>
    <s v="dfcf1a4a-a238-499e-b218-85ef582975c8"/>
    <x v="1"/>
    <x v="2"/>
    <d v="2025-08-06T00:00:00"/>
    <d v="2025-08-06T00:00:00"/>
    <n v="0"/>
    <x v="0"/>
    <x v="2"/>
    <s v="NA"/>
    <s v="Qualified"/>
    <x v="0"/>
    <s v="No Follow-up"/>
    <s v="Facebook Ads"/>
    <n v="32"/>
    <x v="2"/>
    <s v="OK"/>
    <s v="OK"/>
  </r>
  <r>
    <s v="68bcad20-a634-45b6-8836-da35c714d8c5"/>
    <x v="2"/>
    <x v="2"/>
    <d v="2025-06-16T00:00:00"/>
    <d v="2025-06-16T00:00:00"/>
    <n v="0"/>
    <x v="0"/>
    <x v="0"/>
    <s v="NA"/>
    <s v="Qualified"/>
    <x v="1"/>
    <s v="Contacted"/>
    <s v="Organic Search"/>
    <n v="48"/>
    <x v="1"/>
    <s v="OK"/>
    <s v="OK"/>
  </r>
  <r>
    <s v="85ee12bb-f69b-4d5e-9fcf-3db043f0e5f8"/>
    <x v="1"/>
    <x v="2"/>
    <d v="2025-04-19T00:00:00"/>
    <d v="2025-04-19T00:00:00"/>
    <n v="0"/>
    <x v="1"/>
    <x v="2"/>
    <s v="NA"/>
    <s v="Unqualified"/>
    <x v="3"/>
    <s v="Pending Follow-up"/>
    <s v="Referral Program"/>
    <n v="40"/>
    <x v="1"/>
    <s v="OK"/>
    <s v="OK"/>
  </r>
  <r>
    <s v="3a1e2b5c-e203-4ab0-8fa2-eaec4d54ff4d"/>
    <x v="1"/>
    <x v="2"/>
    <d v="2025-03-02T00:00:00"/>
    <d v="2025-03-02T00:00:00"/>
    <n v="0"/>
    <x v="3"/>
    <x v="3"/>
    <s v="NA"/>
    <s v="Qualified"/>
    <x v="2"/>
    <s v="Contacted"/>
    <s v="Referral Program"/>
    <n v="37"/>
    <x v="0"/>
    <s v="OK"/>
    <s v="OK"/>
  </r>
  <r>
    <s v="adb6d733-bc2c-4ae4-b3a9-761e417b991c"/>
    <x v="0"/>
    <x v="1"/>
    <d v="2025-01-01T00:00:00"/>
    <d v="2025-01-15T00:00:00"/>
    <n v="0"/>
    <x v="0"/>
    <x v="0"/>
    <s v="NA"/>
    <s v="Qualified"/>
    <x v="1"/>
    <s v="Follow-up Scheduled"/>
    <s v="Google Ads Campaign"/>
    <n v="61"/>
    <x v="2"/>
    <s v="OK"/>
    <s v="OK"/>
  </r>
  <r>
    <s v="1c06b221-7c3c-4f16-a2bc-d02f7c8489d9"/>
    <x v="2"/>
    <x v="0"/>
    <d v="2025-07-15T00:00:00"/>
    <d v="2025-05-26T00:00:00"/>
    <n v="2563"/>
    <x v="0"/>
    <x v="2"/>
    <d v="2025-01-02T00:00:00"/>
    <s v="Qualified"/>
    <x v="3"/>
    <s v="Contacted"/>
    <s v="Facebook Ads"/>
    <n v="58"/>
    <x v="2"/>
    <s v="ERROR"/>
    <s v="ERROR"/>
  </r>
  <r>
    <s v="998b91c1-c100-450c-9310-aa3004b6460e"/>
    <x v="3"/>
    <x v="2"/>
    <d v="2025-04-27T00:00:00"/>
    <d v="2025-04-27T00:00:00"/>
    <n v="0"/>
    <x v="2"/>
    <x v="2"/>
    <s v="NA"/>
    <s v="Unqualified"/>
    <x v="1"/>
    <s v="Follow-up Scheduled"/>
    <s v="Referral Program"/>
    <n v="47"/>
    <x v="1"/>
    <s v="OK"/>
    <s v="OK"/>
  </r>
  <r>
    <s v="a1dfefc7-92c0-4d36-9885-08b2a10f7e1e"/>
    <x v="3"/>
    <x v="1"/>
    <d v="2025-01-31T00:00:00"/>
    <d v="2025-03-01T00:00:00"/>
    <n v="0"/>
    <x v="3"/>
    <x v="3"/>
    <s v="NA"/>
    <s v="Unqualified"/>
    <x v="1"/>
    <s v="Pending Follow-up"/>
    <s v="Referral Program"/>
    <n v="65"/>
    <x v="0"/>
    <s v="OK"/>
    <s v="OK"/>
  </r>
  <r>
    <s v="fe50a7ea-6cca-42e4-b647-31dbdab7d2fb"/>
    <x v="3"/>
    <x v="2"/>
    <d v="2025-02-23T00:00:00"/>
    <d v="2025-02-23T00:00:00"/>
    <n v="0"/>
    <x v="3"/>
    <x v="0"/>
    <s v="NA"/>
    <s v="Qualified"/>
    <x v="0"/>
    <s v="No Follow-up"/>
    <s v="Referral Program"/>
    <n v="43"/>
    <x v="1"/>
    <s v="OK"/>
    <s v="OK"/>
  </r>
  <r>
    <s v="a6996a07-e1ad-4762-aa3c-df55302c7d87"/>
    <x v="0"/>
    <x v="1"/>
    <d v="2025-05-27T00:00:00"/>
    <d v="2025-06-03T00:00:00"/>
    <n v="0"/>
    <x v="1"/>
    <x v="1"/>
    <s v="NA"/>
    <s v="Unqualified"/>
    <x v="1"/>
    <s v="Follow-up Scheduled"/>
    <s v="Facebook Ads"/>
    <n v="46"/>
    <x v="2"/>
    <s v="OK"/>
    <s v="OK"/>
  </r>
  <r>
    <s v="55bf4cd9-c9c6-4166-9169-f986472dbc4c"/>
    <x v="0"/>
    <x v="1"/>
    <d v="2025-06-29T00:00:00"/>
    <d v="2025-06-03T00:00:00"/>
    <n v="0"/>
    <x v="3"/>
    <x v="3"/>
    <s v="NA"/>
    <s v="Qualified"/>
    <x v="1"/>
    <s v="Pending Follow-up"/>
    <s v="Organic Search"/>
    <n v="87"/>
    <x v="1"/>
    <s v="ERROR"/>
    <s v="OK"/>
  </r>
  <r>
    <s v="c23ee322-c34a-491f-8891-f5b58487b610"/>
    <x v="1"/>
    <x v="2"/>
    <d v="2025-04-14T00:00:00"/>
    <d v="2025-04-14T00:00:00"/>
    <n v="0"/>
    <x v="0"/>
    <x v="1"/>
    <s v="NA"/>
    <s v="Unqualified"/>
    <x v="0"/>
    <s v="No Follow-up"/>
    <s v="Organic Search"/>
    <n v="76"/>
    <x v="1"/>
    <s v="OK"/>
    <s v="OK"/>
  </r>
  <r>
    <s v="e39ef79c-63c4-4e3f-ba5a-a820d16bf0e3"/>
    <x v="3"/>
    <x v="2"/>
    <d v="2025-07-14T00:00:00"/>
    <d v="2025-07-14T00:00:00"/>
    <n v="0"/>
    <x v="1"/>
    <x v="0"/>
    <s v="NA"/>
    <s v="Qualified"/>
    <x v="1"/>
    <s v="Pending Follow-up"/>
    <s v="Referral Program"/>
    <n v="37"/>
    <x v="2"/>
    <s v="OK"/>
    <s v="OK"/>
  </r>
  <r>
    <s v="43f4f7da-408e-4f96-be2c-29a1d38dae68"/>
    <x v="0"/>
    <x v="2"/>
    <d v="2025-04-20T00:00:00"/>
    <d v="2025-04-20T00:00:00"/>
    <n v="0"/>
    <x v="0"/>
    <x v="3"/>
    <s v="NA"/>
    <s v="Qualified"/>
    <x v="1"/>
    <s v="No Follow-up"/>
    <s v="Google Ads Campaign"/>
    <n v="30"/>
    <x v="1"/>
    <s v="OK"/>
    <s v="OK"/>
  </r>
  <r>
    <s v="80101274-0dc7-46ad-8857-e701c6e7f6d3"/>
    <x v="3"/>
    <x v="0"/>
    <d v="2025-03-30T00:00:00"/>
    <d v="2025-02-22T00:00:00"/>
    <n v="4189"/>
    <x v="2"/>
    <x v="2"/>
    <d v="2025-06-16T00:00:00"/>
    <s v="Qualified"/>
    <x v="0"/>
    <s v="Completed"/>
    <s v="Organic Search"/>
    <n v="32"/>
    <x v="0"/>
    <s v="ERROR"/>
    <s v="OK"/>
  </r>
  <r>
    <s v="12d8154e-b1c4-4767-a6b2-2932c6d802df"/>
    <x v="3"/>
    <x v="1"/>
    <d v="2025-05-17T00:00:00"/>
    <d v="2025-04-22T00:00:00"/>
    <n v="0"/>
    <x v="1"/>
    <x v="1"/>
    <s v="NA"/>
    <s v="Qualified"/>
    <x v="0"/>
    <s v="Contacted"/>
    <s v="Facebook Ads"/>
    <n v="52"/>
    <x v="0"/>
    <s v="ERROR"/>
    <s v="OK"/>
  </r>
  <r>
    <s v="6a662f27-2c8f-4d8c-9785-17394ea6efe4"/>
    <x v="1"/>
    <x v="0"/>
    <d v="2025-07-22T00:00:00"/>
    <d v="2025-08-29T00:00:00"/>
    <n v="2415"/>
    <x v="3"/>
    <x v="2"/>
    <d v="2025-07-20T00:00:00"/>
    <s v="Qualified"/>
    <x v="0"/>
    <s v="Contacted"/>
    <s v="Google Ads Campaign"/>
    <n v="78"/>
    <x v="0"/>
    <s v="OK"/>
    <s v="ERROR"/>
  </r>
  <r>
    <s v="cbf4cf40-dff7-44df-8713-eb884c47caca"/>
    <x v="3"/>
    <x v="1"/>
    <d v="2025-09-14T00:00:00"/>
    <d v="2025-05-14T00:00:00"/>
    <n v="0"/>
    <x v="0"/>
    <x v="1"/>
    <s v="NA"/>
    <s v="Qualified"/>
    <x v="2"/>
    <s v="Contacted"/>
    <s v="Organic Search"/>
    <n v="36"/>
    <x v="1"/>
    <s v="ERROR"/>
    <s v="OK"/>
  </r>
  <r>
    <s v="c7ac3517-0126-4909-af65-b91f97e5cfda"/>
    <x v="3"/>
    <x v="0"/>
    <d v="2025-02-23T00:00:00"/>
    <d v="2025-08-22T00:00:00"/>
    <n v="3203"/>
    <x v="0"/>
    <x v="0"/>
    <d v="2025-01-20T00:00:00"/>
    <s v="Qualified"/>
    <x v="2"/>
    <s v="Completed"/>
    <s v="Referral Program"/>
    <n v="60"/>
    <x v="0"/>
    <s v="OK"/>
    <s v="ERROR"/>
  </r>
  <r>
    <s v="886be686-c07e-4d99-ae0b-9f94f6e389a9"/>
    <x v="3"/>
    <x v="0"/>
    <d v="2025-02-15T00:00:00"/>
    <d v="2025-10-05T00:00:00"/>
    <n v="2805"/>
    <x v="1"/>
    <x v="1"/>
    <d v="2025-10-13T00:00:00"/>
    <s v="Unqualified"/>
    <x v="2"/>
    <s v="Contacted"/>
    <s v="Facebook Ads"/>
    <n v="58"/>
    <x v="1"/>
    <s v="OK"/>
    <s v="OK"/>
  </r>
  <r>
    <s v="23a25991-72c8-4d55-af07-1774dbd8c21b"/>
    <x v="1"/>
    <x v="1"/>
    <d v="2025-06-30T00:00:00"/>
    <d v="2025-05-16T00:00:00"/>
    <n v="0"/>
    <x v="2"/>
    <x v="0"/>
    <s v="NA"/>
    <s v="Unqualified"/>
    <x v="0"/>
    <s v="Pending Follow-up"/>
    <s v="Google Ads Campaign"/>
    <n v="92"/>
    <x v="0"/>
    <s v="ERROR"/>
    <s v="OK"/>
  </r>
  <r>
    <s v="b0caafb3-76c6-4514-9cfe-7e2f8d80933a"/>
    <x v="3"/>
    <x v="2"/>
    <d v="2025-08-03T00:00:00"/>
    <d v="2025-08-03T00:00:00"/>
    <n v="0"/>
    <x v="0"/>
    <x v="0"/>
    <s v="NA"/>
    <s v="Unqualified"/>
    <x v="0"/>
    <s v="Contacted"/>
    <s v="Google Ads Campaign"/>
    <n v="65"/>
    <x v="1"/>
    <s v="OK"/>
    <s v="OK"/>
  </r>
  <r>
    <s v="16094d1c-2e6d-43d4-8cf7-2c52e1285919"/>
    <x v="0"/>
    <x v="0"/>
    <d v="2025-10-08T00:00:00"/>
    <d v="2025-10-11T00:00:00"/>
    <n v="2134"/>
    <x v="0"/>
    <x v="2"/>
    <d v="2025-02-08T00:00:00"/>
    <s v="Qualified"/>
    <x v="0"/>
    <s v="No Follow-up"/>
    <s v="Referral Program"/>
    <n v="42"/>
    <x v="1"/>
    <s v="OK"/>
    <s v="ERROR"/>
  </r>
  <r>
    <s v="1482e109-1e6a-48db-8707-2fcd8f427793"/>
    <x v="1"/>
    <x v="2"/>
    <d v="2025-01-17T00:00:00"/>
    <d v="2025-01-17T00:00:00"/>
    <n v="0"/>
    <x v="0"/>
    <x v="3"/>
    <s v="NA"/>
    <s v="Unqualified"/>
    <x v="2"/>
    <s v="No Follow-up"/>
    <s v="Organic Search"/>
    <n v="44"/>
    <x v="1"/>
    <s v="OK"/>
    <s v="OK"/>
  </r>
  <r>
    <s v="9219eabd-7b78-4645-880d-fbafb443ac55"/>
    <x v="2"/>
    <x v="2"/>
    <d v="2025-07-17T00:00:00"/>
    <d v="2025-07-17T00:00:00"/>
    <n v="0"/>
    <x v="0"/>
    <x v="0"/>
    <s v="NA"/>
    <s v="Unqualified"/>
    <x v="2"/>
    <s v="Pending Follow-up"/>
    <s v="Organic Search"/>
    <n v="86"/>
    <x v="2"/>
    <s v="OK"/>
    <s v="OK"/>
  </r>
  <r>
    <s v="9e148d4d-ea37-452e-b5e2-85ae1b16a420"/>
    <x v="3"/>
    <x v="0"/>
    <d v="2025-09-27T00:00:00"/>
    <d v="2025-05-22T00:00:00"/>
    <n v="4113"/>
    <x v="2"/>
    <x v="1"/>
    <d v="2025-05-14T00:00:00"/>
    <s v="Qualified"/>
    <x v="2"/>
    <s v="No Follow-up"/>
    <s v="Facebook Ads"/>
    <n v="55"/>
    <x v="2"/>
    <s v="ERROR"/>
    <s v="ERROR"/>
  </r>
  <r>
    <s v="cf448f88-ed59-47c6-8926-1c2a2d2c3a13"/>
    <x v="0"/>
    <x v="2"/>
    <d v="2025-07-27T00:00:00"/>
    <d v="2025-07-27T00:00:00"/>
    <n v="0"/>
    <x v="2"/>
    <x v="0"/>
    <s v="NA"/>
    <s v="Qualified"/>
    <x v="3"/>
    <s v="Follow-up Scheduled"/>
    <s v="Facebook Ads"/>
    <n v="62"/>
    <x v="2"/>
    <s v="OK"/>
    <s v="OK"/>
  </r>
  <r>
    <s v="d21f1d48-10b4-4e89-b0b3-08e67fd35c6f"/>
    <x v="2"/>
    <x v="2"/>
    <d v="2025-03-09T00:00:00"/>
    <d v="2025-03-09T00:00:00"/>
    <n v="0"/>
    <x v="1"/>
    <x v="3"/>
    <s v="NA"/>
    <s v="Unqualified"/>
    <x v="2"/>
    <s v="No Follow-up"/>
    <s v="Organic Search"/>
    <n v="49"/>
    <x v="0"/>
    <s v="OK"/>
    <s v="OK"/>
  </r>
  <r>
    <s v="69a606ca-1c54-48f9-b484-5940df172664"/>
    <x v="2"/>
    <x v="2"/>
    <d v="2025-04-22T00:00:00"/>
    <d v="2025-04-22T00:00:00"/>
    <n v="0"/>
    <x v="2"/>
    <x v="3"/>
    <s v="NA"/>
    <s v="Qualified"/>
    <x v="2"/>
    <s v="No Follow-up"/>
    <s v="Facebook Ads"/>
    <n v="30"/>
    <x v="2"/>
    <s v="OK"/>
    <s v="OK"/>
  </r>
  <r>
    <s v="21750b16-569a-4a21-9c20-23f230b6cab9"/>
    <x v="2"/>
    <x v="0"/>
    <d v="2025-06-02T00:00:00"/>
    <d v="2025-03-14T00:00:00"/>
    <n v="2779"/>
    <x v="2"/>
    <x v="3"/>
    <d v="2025-08-01T00:00:00"/>
    <s v="Unqualified"/>
    <x v="3"/>
    <s v="Contacted"/>
    <s v="Referral Program"/>
    <n v="80"/>
    <x v="1"/>
    <s v="ERROR"/>
    <s v="OK"/>
  </r>
  <r>
    <s v="655b8e46-abf3-47a2-b0e8-1974bfa0cb02"/>
    <x v="1"/>
    <x v="1"/>
    <d v="2025-08-28T00:00:00"/>
    <d v="2025-04-24T00:00:00"/>
    <n v="0"/>
    <x v="1"/>
    <x v="3"/>
    <s v="NA"/>
    <s v="Qualified"/>
    <x v="1"/>
    <s v="Follow-up Scheduled"/>
    <s v="Facebook Ads"/>
    <n v="59"/>
    <x v="0"/>
    <s v="ERROR"/>
    <s v="OK"/>
  </r>
  <r>
    <s v="91325f64-8965-488d-b307-e01998f8a723"/>
    <x v="1"/>
    <x v="1"/>
    <d v="2025-04-06T00:00:00"/>
    <d v="2025-05-01T00:00:00"/>
    <n v="0"/>
    <x v="3"/>
    <x v="0"/>
    <s v="NA"/>
    <s v="Qualified"/>
    <x v="0"/>
    <s v="Pending Follow-up"/>
    <s v="Referral Program"/>
    <n v="63"/>
    <x v="0"/>
    <s v="OK"/>
    <s v="OK"/>
  </r>
  <r>
    <s v="878ab0bd-5fcb-4779-bd2d-f527ef47315d"/>
    <x v="0"/>
    <x v="2"/>
    <d v="2025-04-04T00:00:00"/>
    <d v="2025-04-04T00:00:00"/>
    <n v="0"/>
    <x v="0"/>
    <x v="1"/>
    <s v="NA"/>
    <s v="Qualified"/>
    <x v="0"/>
    <s v="Contacted"/>
    <s v="Referral Program"/>
    <n v="31"/>
    <x v="2"/>
    <s v="OK"/>
    <s v="OK"/>
  </r>
  <r>
    <s v="54861c50-cdf2-42d5-8f15-6dd4a023f6c2"/>
    <x v="1"/>
    <x v="2"/>
    <d v="2025-01-04T00:00:00"/>
    <d v="2025-01-04T00:00:00"/>
    <n v="0"/>
    <x v="2"/>
    <x v="2"/>
    <s v="NA"/>
    <s v="Unqualified"/>
    <x v="0"/>
    <s v="Follow-up Scheduled"/>
    <s v="Facebook Ads"/>
    <n v="69"/>
    <x v="0"/>
    <s v="OK"/>
    <s v="OK"/>
  </r>
  <r>
    <s v="043b72a6-2570-48ac-8bbb-655d9cbd44e7"/>
    <x v="3"/>
    <x v="1"/>
    <d v="2025-08-12T00:00:00"/>
    <d v="2025-06-28T00:00:00"/>
    <n v="0"/>
    <x v="3"/>
    <x v="1"/>
    <s v="NA"/>
    <s v="Qualified"/>
    <x v="0"/>
    <s v="No Follow-up"/>
    <s v="Google Ads Campaign"/>
    <n v="56"/>
    <x v="2"/>
    <s v="ERROR"/>
    <s v="OK"/>
  </r>
  <r>
    <s v="9cfb4a86-c47c-4975-9770-e6a64d9c5f6d"/>
    <x v="0"/>
    <x v="1"/>
    <d v="2025-05-20T00:00:00"/>
    <d v="2025-07-27T00:00:00"/>
    <n v="0"/>
    <x v="2"/>
    <x v="1"/>
    <s v="NA"/>
    <s v="Qualified"/>
    <x v="3"/>
    <s v="Contacted"/>
    <s v="Referral Program"/>
    <n v="63"/>
    <x v="1"/>
    <s v="OK"/>
    <s v="OK"/>
  </r>
  <r>
    <s v="aae1c40a-c302-4172-9fcf-fb3d84cb0f0e"/>
    <x v="3"/>
    <x v="0"/>
    <d v="2025-06-30T00:00:00"/>
    <d v="2025-06-12T00:00:00"/>
    <n v="2956"/>
    <x v="2"/>
    <x v="2"/>
    <d v="2025-06-09T00:00:00"/>
    <s v="Qualified"/>
    <x v="3"/>
    <s v="No Follow-up"/>
    <s v="Organic Search"/>
    <n v="83"/>
    <x v="2"/>
    <s v="ERROR"/>
    <s v="ERROR"/>
  </r>
  <r>
    <s v="ad74c29d-3eb7-49a8-9e7f-8520ff687652"/>
    <x v="3"/>
    <x v="1"/>
    <d v="2025-02-04T00:00:00"/>
    <d v="2025-03-15T00:00:00"/>
    <n v="0"/>
    <x v="0"/>
    <x v="3"/>
    <s v="NA"/>
    <s v="Unqualified"/>
    <x v="1"/>
    <s v="Follow-up Scheduled"/>
    <s v="Google Ads Campaign"/>
    <n v="92"/>
    <x v="1"/>
    <s v="OK"/>
    <s v="OK"/>
  </r>
  <r>
    <s v="4dc4fb19-de5a-4836-8281-78fce399c272"/>
    <x v="2"/>
    <x v="1"/>
    <d v="2025-02-26T00:00:00"/>
    <d v="2025-05-17T00:00:00"/>
    <n v="0"/>
    <x v="0"/>
    <x v="1"/>
    <s v="NA"/>
    <s v="Qualified"/>
    <x v="3"/>
    <s v="Contacted"/>
    <s v="Google Ads Campaign"/>
    <n v="55"/>
    <x v="0"/>
    <s v="OK"/>
    <s v="OK"/>
  </r>
  <r>
    <s v="e938c18a-8dc3-4b99-af02-0bb782fcda88"/>
    <x v="2"/>
    <x v="2"/>
    <d v="2025-05-22T00:00:00"/>
    <d v="2025-05-22T00:00:00"/>
    <n v="0"/>
    <x v="3"/>
    <x v="2"/>
    <s v="NA"/>
    <s v="Qualified"/>
    <x v="1"/>
    <s v="Contacted"/>
    <s v="Referral Program"/>
    <n v="92"/>
    <x v="0"/>
    <s v="OK"/>
    <s v="OK"/>
  </r>
  <r>
    <s v="652c758c-e34b-496e-9332-4ccb12fddd46"/>
    <x v="1"/>
    <x v="2"/>
    <d v="2025-02-25T00:00:00"/>
    <d v="2025-02-25T00:00:00"/>
    <n v="0"/>
    <x v="3"/>
    <x v="1"/>
    <s v="NA"/>
    <s v="Qualified"/>
    <x v="3"/>
    <s v="Contacted"/>
    <s v="Organic Search"/>
    <n v="31"/>
    <x v="1"/>
    <s v="OK"/>
    <s v="OK"/>
  </r>
  <r>
    <s v="80bb604b-e2e9-4f0d-9c93-a101a0214a34"/>
    <x v="1"/>
    <x v="0"/>
    <d v="2025-01-07T00:00:00"/>
    <d v="2025-08-16T00:00:00"/>
    <n v="2897"/>
    <x v="1"/>
    <x v="0"/>
    <d v="2025-01-31T00:00:00"/>
    <s v="Unqualified"/>
    <x v="2"/>
    <s v="Completed"/>
    <s v="Google Ads Campaign"/>
    <n v="50"/>
    <x v="1"/>
    <s v="OK"/>
    <s v="OK"/>
  </r>
  <r>
    <s v="993b073b-28dd-4822-8579-7403e3a36426"/>
    <x v="2"/>
    <x v="0"/>
    <d v="2025-05-21T00:00:00"/>
    <d v="2025-08-07T00:00:00"/>
    <n v="2908"/>
    <x v="2"/>
    <x v="2"/>
    <d v="2025-05-15T00:00:00"/>
    <s v="Qualified"/>
    <x v="0"/>
    <s v="Completed"/>
    <s v="Facebook Ads"/>
    <n v="35"/>
    <x v="2"/>
    <s v="OK"/>
    <s v="ERROR"/>
  </r>
  <r>
    <s v="bb6d181e-dfc0-4e52-a231-ac0ef933bade"/>
    <x v="1"/>
    <x v="2"/>
    <d v="2025-01-01T00:00:00"/>
    <d v="2025-01-01T00:00:00"/>
    <n v="0"/>
    <x v="2"/>
    <x v="3"/>
    <s v="NA"/>
    <s v="Unqualified"/>
    <x v="0"/>
    <s v="Contacted"/>
    <s v="Facebook Ads"/>
    <n v="94"/>
    <x v="0"/>
    <s v="OK"/>
    <s v="OK"/>
  </r>
  <r>
    <s v="430d90bf-713d-4baf-bdcf-314f3c78a3dd"/>
    <x v="0"/>
    <x v="0"/>
    <d v="2025-01-17T00:00:00"/>
    <d v="2025-07-03T00:00:00"/>
    <n v="4291"/>
    <x v="0"/>
    <x v="1"/>
    <d v="2025-04-12T00:00:00"/>
    <s v="Unqualified"/>
    <x v="0"/>
    <s v="No Follow-up"/>
    <s v="Google Ads Campaign"/>
    <n v="79"/>
    <x v="2"/>
    <s v="OK"/>
    <s v="OK"/>
  </r>
  <r>
    <s v="aeba8f18-da5b-4dd8-b9f7-2fecba854fa3"/>
    <x v="1"/>
    <x v="2"/>
    <d v="2025-10-04T00:00:00"/>
    <d v="2025-10-04T00:00:00"/>
    <n v="0"/>
    <x v="1"/>
    <x v="2"/>
    <s v="NA"/>
    <s v="Unqualified"/>
    <x v="0"/>
    <s v="Contacted"/>
    <s v="Google Ads Campaign"/>
    <n v="91"/>
    <x v="2"/>
    <s v="OK"/>
    <s v="OK"/>
  </r>
  <r>
    <s v="e51c44d0-1a83-4e77-a435-c5dcb5d18e25"/>
    <x v="0"/>
    <x v="0"/>
    <d v="2025-07-06T00:00:00"/>
    <d v="2025-03-21T00:00:00"/>
    <n v="2647"/>
    <x v="0"/>
    <x v="3"/>
    <d v="2025-08-07T00:00:00"/>
    <s v="Qualified"/>
    <x v="1"/>
    <s v="No Follow-up"/>
    <s v="Facebook Ads"/>
    <n v="34"/>
    <x v="1"/>
    <s v="ERROR"/>
    <s v="OK"/>
  </r>
  <r>
    <s v="afd62be3-a9be-4361-9c0a-b8b47f70a912"/>
    <x v="2"/>
    <x v="2"/>
    <d v="2025-08-24T00:00:00"/>
    <d v="2025-08-24T00:00:00"/>
    <n v="0"/>
    <x v="1"/>
    <x v="3"/>
    <s v="NA"/>
    <s v="Unqualified"/>
    <x v="3"/>
    <s v="No Follow-up"/>
    <s v="Facebook Ads"/>
    <n v="39"/>
    <x v="1"/>
    <s v="OK"/>
    <s v="OK"/>
  </r>
  <r>
    <s v="94ccf203-d929-49c3-8fb1-e1272cd248a9"/>
    <x v="1"/>
    <x v="2"/>
    <d v="2025-01-11T00:00:00"/>
    <d v="2025-01-11T00:00:00"/>
    <n v="0"/>
    <x v="0"/>
    <x v="2"/>
    <s v="NA"/>
    <s v="Qualified"/>
    <x v="2"/>
    <s v="Contacted"/>
    <s v="Facebook Ads"/>
    <n v="35"/>
    <x v="1"/>
    <s v="OK"/>
    <s v="OK"/>
  </r>
  <r>
    <s v="ee965f60-1817-4d71-a70e-8d70f58ca64e"/>
    <x v="0"/>
    <x v="2"/>
    <d v="2025-01-27T00:00:00"/>
    <d v="2025-01-27T00:00:00"/>
    <n v="0"/>
    <x v="2"/>
    <x v="1"/>
    <s v="NA"/>
    <s v="Unqualified"/>
    <x v="3"/>
    <s v="Contacted"/>
    <s v="Referral Program"/>
    <n v="32"/>
    <x v="1"/>
    <s v="OK"/>
    <s v="OK"/>
  </r>
  <r>
    <s v="9e0def5f-5720-4d91-a343-26dc254aeba0"/>
    <x v="0"/>
    <x v="0"/>
    <d v="2025-01-26T00:00:00"/>
    <d v="2025-09-12T00:00:00"/>
    <n v="4535"/>
    <x v="0"/>
    <x v="2"/>
    <d v="2025-09-19T00:00:00"/>
    <s v="Qualified"/>
    <x v="0"/>
    <s v="No Follow-up"/>
    <s v="Organic Search"/>
    <n v="35"/>
    <x v="0"/>
    <s v="OK"/>
    <s v="OK"/>
  </r>
  <r>
    <s v="4a8c4432-b948-432c-a785-d93772e0e3bb"/>
    <x v="2"/>
    <x v="0"/>
    <d v="2025-07-06T00:00:00"/>
    <d v="2025-10-12T00:00:00"/>
    <n v="2087"/>
    <x v="0"/>
    <x v="3"/>
    <d v="2025-07-25T00:00:00"/>
    <s v="Qualified"/>
    <x v="1"/>
    <s v="No Follow-up"/>
    <s v="Organic Search"/>
    <n v="50"/>
    <x v="0"/>
    <s v="OK"/>
    <s v="OK"/>
  </r>
  <r>
    <s v="71915817-634d-4328-9afd-3f9c98e4ed27"/>
    <x v="2"/>
    <x v="0"/>
    <d v="2025-02-15T00:00:00"/>
    <d v="2025-10-05T00:00:00"/>
    <n v="4647"/>
    <x v="0"/>
    <x v="2"/>
    <d v="2025-07-26T00:00:00"/>
    <s v="Qualified"/>
    <x v="1"/>
    <s v="Completed"/>
    <s v="Referral Program"/>
    <n v="83"/>
    <x v="2"/>
    <s v="OK"/>
    <s v="OK"/>
  </r>
  <r>
    <s v="f9b48d99-2d14-46b4-a373-f096ef11df42"/>
    <x v="1"/>
    <x v="2"/>
    <d v="2025-02-10T00:00:00"/>
    <d v="2025-02-10T00:00:00"/>
    <n v="0"/>
    <x v="3"/>
    <x v="3"/>
    <s v="NA"/>
    <s v="Qualified"/>
    <x v="3"/>
    <s v="Pending Follow-up"/>
    <s v="Organic Search"/>
    <n v="65"/>
    <x v="0"/>
    <s v="OK"/>
    <s v="OK"/>
  </r>
  <r>
    <s v="4e729bc1-1af1-4ec9-a3e5-1ad07bed1a1e"/>
    <x v="2"/>
    <x v="1"/>
    <d v="2025-04-15T00:00:00"/>
    <d v="2025-06-11T00:00:00"/>
    <n v="0"/>
    <x v="0"/>
    <x v="0"/>
    <s v="NA"/>
    <s v="Qualified"/>
    <x v="2"/>
    <s v="Pending Follow-up"/>
    <s v="Google Ads Campaign"/>
    <n v="32"/>
    <x v="1"/>
    <s v="OK"/>
    <s v="OK"/>
  </r>
  <r>
    <s v="3f117def-c1ae-427a-8ebe-b1e7832f7c77"/>
    <x v="1"/>
    <x v="2"/>
    <d v="2025-08-21T00:00:00"/>
    <d v="2025-08-21T00:00:00"/>
    <n v="0"/>
    <x v="3"/>
    <x v="2"/>
    <s v="NA"/>
    <s v="Unqualified"/>
    <x v="1"/>
    <s v="No Follow-up"/>
    <s v="Google Ads Campaign"/>
    <n v="71"/>
    <x v="0"/>
    <s v="OK"/>
    <s v="OK"/>
  </r>
  <r>
    <s v="b6749bf0-2cc4-4985-bf0c-f7b8d0f84314"/>
    <x v="0"/>
    <x v="1"/>
    <d v="2025-02-09T00:00:00"/>
    <d v="2025-06-11T00:00:00"/>
    <n v="0"/>
    <x v="3"/>
    <x v="1"/>
    <s v="NA"/>
    <s v="Unqualified"/>
    <x v="2"/>
    <s v="No Follow-up"/>
    <s v="Facebook Ads"/>
    <n v="41"/>
    <x v="1"/>
    <s v="OK"/>
    <s v="OK"/>
  </r>
  <r>
    <s v="906494b6-f75b-409e-ab8b-a2eac151e8fb"/>
    <x v="3"/>
    <x v="0"/>
    <d v="2025-03-24T00:00:00"/>
    <d v="2025-09-24T00:00:00"/>
    <n v="2568"/>
    <x v="3"/>
    <x v="0"/>
    <d v="2025-03-21T00:00:00"/>
    <s v="Unqualified"/>
    <x v="0"/>
    <s v="Completed"/>
    <s v="Organic Search"/>
    <n v="35"/>
    <x v="0"/>
    <s v="OK"/>
    <s v="ERROR"/>
  </r>
  <r>
    <s v="3558e0e7-9175-446a-a6ac-03db79b2e61b"/>
    <x v="1"/>
    <x v="1"/>
    <d v="2025-10-10T00:00:00"/>
    <d v="2025-06-19T00:00:00"/>
    <n v="0"/>
    <x v="3"/>
    <x v="1"/>
    <s v="NA"/>
    <s v="Qualified"/>
    <x v="1"/>
    <s v="No Follow-up"/>
    <s v="Google Ads Campaign"/>
    <n v="79"/>
    <x v="1"/>
    <s v="ERROR"/>
    <s v="OK"/>
  </r>
  <r>
    <s v="a63bf692-3842-4a52-be61-33a38d334025"/>
    <x v="0"/>
    <x v="2"/>
    <d v="2025-03-17T00:00:00"/>
    <d v="2025-03-17T00:00:00"/>
    <n v="0"/>
    <x v="3"/>
    <x v="0"/>
    <s v="NA"/>
    <s v="Qualified"/>
    <x v="1"/>
    <s v="No Follow-up"/>
    <s v="Google Ads Campaign"/>
    <n v="56"/>
    <x v="0"/>
    <s v="OK"/>
    <s v="OK"/>
  </r>
  <r>
    <s v="db944181-9e25-4c36-a51d-abd6200107a9"/>
    <x v="1"/>
    <x v="0"/>
    <d v="2025-05-31T00:00:00"/>
    <d v="2025-04-25T00:00:00"/>
    <n v="2447"/>
    <x v="3"/>
    <x v="3"/>
    <d v="2025-04-08T00:00:00"/>
    <s v="Unqualified"/>
    <x v="0"/>
    <s v="No Follow-up"/>
    <s v="Google Ads Campaign"/>
    <n v="55"/>
    <x v="2"/>
    <s v="ERROR"/>
    <s v="ERROR"/>
  </r>
  <r>
    <s v="d2c57e7d-a1d6-4676-8ba2-d53abacb0bd0"/>
    <x v="2"/>
    <x v="0"/>
    <d v="2025-06-26T00:00:00"/>
    <d v="2025-02-12T00:00:00"/>
    <n v="2304"/>
    <x v="1"/>
    <x v="2"/>
    <d v="2025-03-24T00:00:00"/>
    <s v="Qualified"/>
    <x v="0"/>
    <s v="Completed"/>
    <s v="Facebook Ads"/>
    <n v="52"/>
    <x v="2"/>
    <s v="ERROR"/>
    <s v="ERROR"/>
  </r>
  <r>
    <s v="3ee0f706-b683-4ff9-af65-5c8b3c9fc696"/>
    <x v="3"/>
    <x v="1"/>
    <d v="2025-08-04T00:00:00"/>
    <d v="2025-06-22T00:00:00"/>
    <n v="0"/>
    <x v="0"/>
    <x v="1"/>
    <s v="NA"/>
    <s v="Unqualified"/>
    <x v="0"/>
    <s v="Contacted"/>
    <s v="Organic Search"/>
    <n v="39"/>
    <x v="1"/>
    <s v="ERROR"/>
    <s v="OK"/>
  </r>
  <r>
    <s v="2aa301c2-b76b-49cd-b0ef-fe5a3b5999b3"/>
    <x v="0"/>
    <x v="1"/>
    <d v="2025-09-01T00:00:00"/>
    <d v="2025-06-26T00:00:00"/>
    <n v="0"/>
    <x v="3"/>
    <x v="1"/>
    <s v="NA"/>
    <s v="Unqualified"/>
    <x v="0"/>
    <s v="No Follow-up"/>
    <s v="Referral Program"/>
    <n v="73"/>
    <x v="1"/>
    <s v="ERROR"/>
    <s v="OK"/>
  </r>
  <r>
    <s v="8c33a42d-d418-456e-9ae5-f873ae70199d"/>
    <x v="0"/>
    <x v="0"/>
    <d v="2025-01-19T00:00:00"/>
    <d v="2025-01-22T00:00:00"/>
    <n v="4173"/>
    <x v="1"/>
    <x v="3"/>
    <d v="2025-07-04T00:00:00"/>
    <s v="Unqualified"/>
    <x v="0"/>
    <s v="Contacted"/>
    <s v="Facebook Ads"/>
    <n v="38"/>
    <x v="0"/>
    <s v="OK"/>
    <s v="OK"/>
  </r>
  <r>
    <s v="19388a15-68b6-48cb-a6fb-6b06ef8184e2"/>
    <x v="0"/>
    <x v="2"/>
    <d v="2025-08-21T00:00:00"/>
    <d v="2025-08-21T00:00:00"/>
    <n v="0"/>
    <x v="0"/>
    <x v="3"/>
    <s v="NA"/>
    <s v="Qualified"/>
    <x v="2"/>
    <s v="Contacted"/>
    <s v="Google Ads Campaign"/>
    <n v="37"/>
    <x v="1"/>
    <s v="OK"/>
    <s v="OK"/>
  </r>
  <r>
    <s v="2b55ab0b-4a26-4e24-a201-2ffb168ab3db"/>
    <x v="0"/>
    <x v="0"/>
    <d v="2025-07-08T00:00:00"/>
    <d v="2025-02-13T00:00:00"/>
    <n v="2612"/>
    <x v="3"/>
    <x v="1"/>
    <d v="2025-02-17T00:00:00"/>
    <s v="Qualified"/>
    <x v="0"/>
    <s v="No Follow-up"/>
    <s v="Organic Search"/>
    <n v="50"/>
    <x v="1"/>
    <s v="ERROR"/>
    <s v="ERROR"/>
  </r>
  <r>
    <s v="1cb1fdd3-bc18-4156-b673-5e146fde3771"/>
    <x v="2"/>
    <x v="1"/>
    <d v="2025-03-02T00:00:00"/>
    <d v="2025-01-29T00:00:00"/>
    <n v="0"/>
    <x v="3"/>
    <x v="2"/>
    <s v="NA"/>
    <s v="Qualified"/>
    <x v="2"/>
    <s v="No Follow-up"/>
    <s v="Google Ads Campaign"/>
    <n v="38"/>
    <x v="0"/>
    <s v="ERROR"/>
    <s v="OK"/>
  </r>
  <r>
    <s v="3321f8fb-19b2-4458-9e4e-bfc7eb730c15"/>
    <x v="3"/>
    <x v="1"/>
    <d v="2025-10-08T00:00:00"/>
    <d v="2025-08-14T00:00:00"/>
    <n v="0"/>
    <x v="2"/>
    <x v="3"/>
    <s v="NA"/>
    <s v="Qualified"/>
    <x v="1"/>
    <s v="Contacted"/>
    <s v="Organic Search"/>
    <n v="63"/>
    <x v="2"/>
    <s v="ERROR"/>
    <s v="OK"/>
  </r>
  <r>
    <s v="74170571-ac18-44a2-b372-d4e1a1754219"/>
    <x v="2"/>
    <x v="1"/>
    <d v="2025-03-14T00:00:00"/>
    <d v="2025-07-26T00:00:00"/>
    <n v="0"/>
    <x v="2"/>
    <x v="1"/>
    <s v="NA"/>
    <s v="Unqualified"/>
    <x v="1"/>
    <s v="Follow-up Scheduled"/>
    <s v="Google Ads Campaign"/>
    <n v="79"/>
    <x v="2"/>
    <s v="OK"/>
    <s v="OK"/>
  </r>
  <r>
    <s v="d35cb395-4245-4c7e-bb6f-f3574327d506"/>
    <x v="2"/>
    <x v="0"/>
    <d v="2025-03-02T00:00:00"/>
    <d v="2025-08-15T00:00:00"/>
    <n v="2572"/>
    <x v="2"/>
    <x v="1"/>
    <d v="2025-08-31T00:00:00"/>
    <s v="Unqualified"/>
    <x v="3"/>
    <s v="No Follow-up"/>
    <s v="Organic Search"/>
    <n v="34"/>
    <x v="2"/>
    <s v="OK"/>
    <s v="OK"/>
  </r>
  <r>
    <s v="22a45ccc-b82e-4016-8849-0db3c98db08f"/>
    <x v="1"/>
    <x v="1"/>
    <d v="2025-05-10T00:00:00"/>
    <d v="2025-01-04T00:00:00"/>
    <n v="0"/>
    <x v="0"/>
    <x v="2"/>
    <s v="NA"/>
    <s v="Unqualified"/>
    <x v="1"/>
    <s v="No Follow-up"/>
    <s v="Facebook Ads"/>
    <n v="59"/>
    <x v="1"/>
    <s v="ERROR"/>
    <s v="OK"/>
  </r>
  <r>
    <s v="b9de8e40-65db-4ac2-a4e1-75e08f95a148"/>
    <x v="0"/>
    <x v="0"/>
    <d v="2025-06-17T00:00:00"/>
    <d v="2025-05-26T00:00:00"/>
    <n v="3396"/>
    <x v="2"/>
    <x v="3"/>
    <d v="2025-06-26T00:00:00"/>
    <s v="Qualified"/>
    <x v="1"/>
    <s v="Completed"/>
    <s v="Organic Search"/>
    <n v="89"/>
    <x v="1"/>
    <s v="ERROR"/>
    <s v="OK"/>
  </r>
  <r>
    <s v="ea28e20c-52eb-48ac-95cb-c7aee3b30dac"/>
    <x v="2"/>
    <x v="0"/>
    <d v="2025-02-17T00:00:00"/>
    <d v="2025-07-05T00:00:00"/>
    <n v="3036"/>
    <x v="0"/>
    <x v="2"/>
    <d v="2025-04-10T00:00:00"/>
    <s v="Unqualified"/>
    <x v="2"/>
    <s v="Completed"/>
    <s v="Organic Search"/>
    <n v="59"/>
    <x v="0"/>
    <s v="OK"/>
    <s v="OK"/>
  </r>
  <r>
    <s v="141cb7e9-148f-4313-9264-a699c375735e"/>
    <x v="1"/>
    <x v="1"/>
    <d v="2025-07-19T00:00:00"/>
    <d v="2025-08-16T00:00:00"/>
    <n v="0"/>
    <x v="2"/>
    <x v="2"/>
    <s v="NA"/>
    <s v="Qualified"/>
    <x v="3"/>
    <s v="Pending Follow-up"/>
    <s v="Organic Search"/>
    <n v="68"/>
    <x v="2"/>
    <s v="OK"/>
    <s v="OK"/>
  </r>
  <r>
    <s v="b7e7e542-fed0-4557-b20b-1814de603e12"/>
    <x v="0"/>
    <x v="2"/>
    <d v="2025-09-26T00:00:00"/>
    <d v="2025-09-26T00:00:00"/>
    <n v="0"/>
    <x v="1"/>
    <x v="3"/>
    <s v="NA"/>
    <s v="Qualified"/>
    <x v="2"/>
    <s v="Pending Follow-up"/>
    <s v="Google Ads Campaign"/>
    <n v="51"/>
    <x v="1"/>
    <s v="OK"/>
    <s v="OK"/>
  </r>
  <r>
    <s v="56f5fdae-d1d2-4bfc-8b80-32593b90b198"/>
    <x v="2"/>
    <x v="2"/>
    <d v="2025-03-01T00:00:00"/>
    <d v="2025-03-01T00:00:00"/>
    <n v="0"/>
    <x v="3"/>
    <x v="3"/>
    <s v="NA"/>
    <s v="Qualified"/>
    <x v="0"/>
    <s v="Contacted"/>
    <s v="Referral Program"/>
    <n v="74"/>
    <x v="1"/>
    <s v="OK"/>
    <s v="OK"/>
  </r>
  <r>
    <s v="a63c160e-5037-4b32-8db8-b85a3c7f3e47"/>
    <x v="2"/>
    <x v="0"/>
    <d v="2025-06-06T00:00:00"/>
    <d v="2025-02-15T00:00:00"/>
    <n v="2411"/>
    <x v="3"/>
    <x v="1"/>
    <d v="2025-01-30T00:00:00"/>
    <s v="Qualified"/>
    <x v="2"/>
    <s v="Completed"/>
    <s v="Facebook Ads"/>
    <n v="33"/>
    <x v="0"/>
    <s v="ERROR"/>
    <s v="ERROR"/>
  </r>
  <r>
    <s v="5ff1ed60-d7ba-4bd5-9334-d10a345994b0"/>
    <x v="1"/>
    <x v="1"/>
    <d v="2025-01-08T00:00:00"/>
    <d v="2025-08-08T00:00:00"/>
    <n v="0"/>
    <x v="1"/>
    <x v="3"/>
    <s v="NA"/>
    <s v="Qualified"/>
    <x v="3"/>
    <s v="Contacted"/>
    <s v="Facebook Ads"/>
    <n v="65"/>
    <x v="2"/>
    <s v="OK"/>
    <s v="OK"/>
  </r>
  <r>
    <s v="730d45ad-593f-4ea3-81aa-52098b0bef2e"/>
    <x v="2"/>
    <x v="2"/>
    <d v="2025-06-02T00:00:00"/>
    <d v="2025-06-02T00:00:00"/>
    <n v="0"/>
    <x v="3"/>
    <x v="3"/>
    <s v="NA"/>
    <s v="Qualified"/>
    <x v="3"/>
    <s v="Pending Follow-up"/>
    <s v="Facebook Ads"/>
    <n v="54"/>
    <x v="1"/>
    <s v="OK"/>
    <s v="OK"/>
  </r>
  <r>
    <s v="be6ff876-af0f-4f67-b877-f2c0540c4a08"/>
    <x v="0"/>
    <x v="1"/>
    <d v="2025-06-30T00:00:00"/>
    <d v="2025-03-31T00:00:00"/>
    <n v="0"/>
    <x v="1"/>
    <x v="2"/>
    <s v="NA"/>
    <s v="Unqualified"/>
    <x v="0"/>
    <s v="Contacted"/>
    <s v="Google Ads Campaign"/>
    <n v="41"/>
    <x v="0"/>
    <s v="ERROR"/>
    <s v="OK"/>
  </r>
  <r>
    <s v="cedf551a-9d8b-4dff-91e7-5390d5b8a106"/>
    <x v="2"/>
    <x v="2"/>
    <d v="2025-09-16T00:00:00"/>
    <d v="2025-09-16T00:00:00"/>
    <n v="0"/>
    <x v="2"/>
    <x v="0"/>
    <s v="NA"/>
    <s v="Qualified"/>
    <x v="0"/>
    <s v="Contacted"/>
    <s v="Google Ads Campaign"/>
    <n v="89"/>
    <x v="2"/>
    <s v="OK"/>
    <s v="OK"/>
  </r>
  <r>
    <s v="7dac53e6-54d7-4b17-9fb6-74bb63f468c9"/>
    <x v="1"/>
    <x v="2"/>
    <d v="2025-05-12T00:00:00"/>
    <d v="2025-05-12T00:00:00"/>
    <n v="0"/>
    <x v="2"/>
    <x v="0"/>
    <s v="NA"/>
    <s v="Unqualified"/>
    <x v="3"/>
    <s v="Pending Follow-up"/>
    <s v="Google Ads Campaign"/>
    <n v="45"/>
    <x v="0"/>
    <s v="OK"/>
    <s v="OK"/>
  </r>
  <r>
    <s v="5865b868-975b-47a1-a566-0c016291e083"/>
    <x v="1"/>
    <x v="0"/>
    <d v="2025-07-26T00:00:00"/>
    <d v="2025-07-26T00:00:00"/>
    <n v="2102"/>
    <x v="0"/>
    <x v="2"/>
    <d v="2025-09-20T00:00:00"/>
    <s v="Qualified"/>
    <x v="1"/>
    <s v="Completed"/>
    <s v="Facebook Ads"/>
    <n v="65"/>
    <x v="2"/>
    <s v="OK"/>
    <s v="OK"/>
  </r>
  <r>
    <s v="f344d551-4fcb-410c-a682-ed859510b6d5"/>
    <x v="1"/>
    <x v="1"/>
    <d v="2025-05-17T00:00:00"/>
    <d v="2025-08-11T00:00:00"/>
    <n v="0"/>
    <x v="3"/>
    <x v="3"/>
    <s v="NA"/>
    <s v="Unqualified"/>
    <x v="1"/>
    <s v="Contacted"/>
    <s v="Organic Search"/>
    <n v="31"/>
    <x v="0"/>
    <s v="OK"/>
    <s v="OK"/>
  </r>
  <r>
    <s v="e22ff3b2-b4ab-4915-ae95-93b30fe88b8e"/>
    <x v="3"/>
    <x v="1"/>
    <d v="2025-06-06T00:00:00"/>
    <d v="2025-08-26T00:00:00"/>
    <n v="0"/>
    <x v="3"/>
    <x v="3"/>
    <s v="NA"/>
    <s v="Unqualified"/>
    <x v="1"/>
    <s v="Follow-up Scheduled"/>
    <s v="Google Ads Campaign"/>
    <n v="30"/>
    <x v="0"/>
    <s v="OK"/>
    <s v="OK"/>
  </r>
  <r>
    <s v="ff5842ff-4356-4a8d-ba84-4b9ab2281773"/>
    <x v="3"/>
    <x v="2"/>
    <d v="2025-08-14T00:00:00"/>
    <d v="2025-08-14T00:00:00"/>
    <n v="0"/>
    <x v="0"/>
    <x v="3"/>
    <s v="NA"/>
    <s v="Unqualified"/>
    <x v="1"/>
    <s v="No Follow-up"/>
    <s v="Google Ads Campaign"/>
    <n v="41"/>
    <x v="2"/>
    <s v="OK"/>
    <s v="OK"/>
  </r>
  <r>
    <s v="f6d775cb-4f06-4a34-8802-8f713fa5e76e"/>
    <x v="3"/>
    <x v="2"/>
    <d v="2025-03-28T00:00:00"/>
    <d v="2025-03-28T00:00:00"/>
    <n v="0"/>
    <x v="2"/>
    <x v="3"/>
    <s v="NA"/>
    <s v="Qualified"/>
    <x v="2"/>
    <s v="Pending Follow-up"/>
    <s v="Google Ads Campaign"/>
    <n v="75"/>
    <x v="0"/>
    <s v="OK"/>
    <s v="OK"/>
  </r>
  <r>
    <s v="b10864c2-a0cb-436f-95c7-dcbe60b3aa1b"/>
    <x v="2"/>
    <x v="1"/>
    <d v="2025-01-08T00:00:00"/>
    <d v="2025-02-22T00:00:00"/>
    <n v="0"/>
    <x v="2"/>
    <x v="0"/>
    <s v="NA"/>
    <s v="Unqualified"/>
    <x v="0"/>
    <s v="Contacted"/>
    <s v="Organic Search"/>
    <n v="88"/>
    <x v="2"/>
    <s v="OK"/>
    <s v="OK"/>
  </r>
  <r>
    <s v="020fb2dd-23f1-45d6-a2c7-f68ed625b6e7"/>
    <x v="0"/>
    <x v="2"/>
    <d v="2025-06-20T00:00:00"/>
    <d v="2025-06-20T00:00:00"/>
    <n v="0"/>
    <x v="1"/>
    <x v="0"/>
    <s v="NA"/>
    <s v="Unqualified"/>
    <x v="3"/>
    <s v="No Follow-up"/>
    <s v="Organic Search"/>
    <n v="33"/>
    <x v="0"/>
    <s v="OK"/>
    <s v="OK"/>
  </r>
  <r>
    <s v="0a22740e-7602-4c2a-a048-e6420ca140c3"/>
    <x v="2"/>
    <x v="2"/>
    <d v="2025-03-03T00:00:00"/>
    <d v="2025-03-03T00:00:00"/>
    <n v="0"/>
    <x v="2"/>
    <x v="3"/>
    <s v="NA"/>
    <s v="Qualified"/>
    <x v="2"/>
    <s v="Contacted"/>
    <s v="Organic Search"/>
    <n v="68"/>
    <x v="1"/>
    <s v="OK"/>
    <s v="OK"/>
  </r>
  <r>
    <s v="a425bdd9-aa99-4694-b2cc-e32a94540790"/>
    <x v="0"/>
    <x v="0"/>
    <d v="2025-05-22T00:00:00"/>
    <d v="2025-06-11T00:00:00"/>
    <n v="2737"/>
    <x v="3"/>
    <x v="2"/>
    <d v="2025-08-25T00:00:00"/>
    <s v="Qualified"/>
    <x v="1"/>
    <s v="Contacted"/>
    <s v="Organic Search"/>
    <n v="50"/>
    <x v="1"/>
    <s v="OK"/>
    <s v="OK"/>
  </r>
  <r>
    <s v="bb1f9f5f-0d6e-4cfd-a5a9-235b4b80484e"/>
    <x v="3"/>
    <x v="0"/>
    <d v="2025-06-27T00:00:00"/>
    <d v="2025-02-11T00:00:00"/>
    <n v="4764"/>
    <x v="1"/>
    <x v="1"/>
    <d v="2025-05-02T00:00:00"/>
    <s v="Unqualified"/>
    <x v="2"/>
    <s v="No Follow-up"/>
    <s v="Organic Search"/>
    <n v="52"/>
    <x v="2"/>
    <s v="ERROR"/>
    <s v="ERROR"/>
  </r>
  <r>
    <s v="25ba58f3-8673-4910-83ca-af4ca214f9d2"/>
    <x v="2"/>
    <x v="2"/>
    <d v="2025-06-15T00:00:00"/>
    <d v="2025-06-15T00:00:00"/>
    <n v="0"/>
    <x v="2"/>
    <x v="3"/>
    <s v="NA"/>
    <s v="Unqualified"/>
    <x v="1"/>
    <s v="Follow-up Scheduled"/>
    <s v="Referral Program"/>
    <n v="90"/>
    <x v="1"/>
    <s v="OK"/>
    <s v="OK"/>
  </r>
  <r>
    <s v="113dce64-e159-4e7e-9d13-e0b6c9eccb94"/>
    <x v="1"/>
    <x v="1"/>
    <d v="2025-06-07T00:00:00"/>
    <d v="2025-06-29T00:00:00"/>
    <n v="0"/>
    <x v="2"/>
    <x v="3"/>
    <s v="NA"/>
    <s v="Qualified"/>
    <x v="2"/>
    <s v="Contacted"/>
    <s v="Referral Program"/>
    <n v="78"/>
    <x v="2"/>
    <s v="OK"/>
    <s v="OK"/>
  </r>
  <r>
    <s v="eb190f49-77ad-490f-931d-ccda305c7ba1"/>
    <x v="3"/>
    <x v="0"/>
    <d v="2025-01-25T00:00:00"/>
    <d v="2025-10-14T00:00:00"/>
    <n v="4867"/>
    <x v="3"/>
    <x v="3"/>
    <d v="2025-06-13T00:00:00"/>
    <s v="Unqualified"/>
    <x v="2"/>
    <s v="Contacted"/>
    <s v="Organic Search"/>
    <n v="38"/>
    <x v="2"/>
    <s v="OK"/>
    <s v="OK"/>
  </r>
  <r>
    <s v="5aff00a4-5870-4367-9c1e-c982a245bd19"/>
    <x v="2"/>
    <x v="2"/>
    <d v="2025-03-06T00:00:00"/>
    <d v="2025-03-06T00:00:00"/>
    <n v="0"/>
    <x v="2"/>
    <x v="3"/>
    <s v="NA"/>
    <s v="Qualified"/>
    <x v="1"/>
    <s v="Contacted"/>
    <s v="Organic Search"/>
    <n v="89"/>
    <x v="2"/>
    <s v="OK"/>
    <s v="OK"/>
  </r>
  <r>
    <s v="566726f4-ce33-46a4-899e-a9c1c1ecfd32"/>
    <x v="3"/>
    <x v="2"/>
    <d v="2025-04-12T00:00:00"/>
    <d v="2025-04-12T00:00:00"/>
    <n v="0"/>
    <x v="0"/>
    <x v="0"/>
    <s v="NA"/>
    <s v="Qualified"/>
    <x v="3"/>
    <s v="Contacted"/>
    <s v="Google Ads Campaign"/>
    <n v="56"/>
    <x v="0"/>
    <s v="OK"/>
    <s v="OK"/>
  </r>
  <r>
    <s v="36939547-8cff-4310-a356-58f9c82f1b3d"/>
    <x v="2"/>
    <x v="0"/>
    <d v="2025-10-07T00:00:00"/>
    <d v="2025-05-09T00:00:00"/>
    <n v="3765"/>
    <x v="0"/>
    <x v="3"/>
    <d v="2025-09-19T00:00:00"/>
    <s v="Qualified"/>
    <x v="2"/>
    <s v="Completed"/>
    <s v="Organic Search"/>
    <n v="69"/>
    <x v="0"/>
    <s v="ERROR"/>
    <s v="ERROR"/>
  </r>
  <r>
    <s v="b1b72230-bd5e-4a2c-8158-707e35243b4e"/>
    <x v="2"/>
    <x v="1"/>
    <d v="2025-09-13T00:00:00"/>
    <d v="2025-09-20T00:00:00"/>
    <n v="0"/>
    <x v="3"/>
    <x v="1"/>
    <s v="NA"/>
    <s v="Qualified"/>
    <x v="2"/>
    <s v="No Follow-up"/>
    <s v="Google Ads Campaign"/>
    <n v="94"/>
    <x v="1"/>
    <s v="OK"/>
    <s v="OK"/>
  </r>
  <r>
    <s v="fa64d984-ca38-46c0-aadc-f8cfd2b9c279"/>
    <x v="3"/>
    <x v="1"/>
    <d v="2025-03-02T00:00:00"/>
    <d v="2025-01-27T00:00:00"/>
    <n v="0"/>
    <x v="2"/>
    <x v="1"/>
    <s v="NA"/>
    <s v="Qualified"/>
    <x v="2"/>
    <s v="Pending Follow-up"/>
    <s v="Organic Search"/>
    <n v="34"/>
    <x v="1"/>
    <s v="ERROR"/>
    <s v="OK"/>
  </r>
  <r>
    <s v="43287e8a-2202-4069-9510-c914fd52a3d8"/>
    <x v="2"/>
    <x v="0"/>
    <d v="2025-02-05T00:00:00"/>
    <d v="2025-10-11T00:00:00"/>
    <n v="4203"/>
    <x v="3"/>
    <x v="0"/>
    <d v="2025-04-03T00:00:00"/>
    <s v="Unqualified"/>
    <x v="3"/>
    <s v="Contacted"/>
    <s v="Organic Search"/>
    <n v="52"/>
    <x v="1"/>
    <s v="OK"/>
    <s v="OK"/>
  </r>
  <r>
    <s v="4c893756-9c69-418c-9736-27c167a3bb06"/>
    <x v="3"/>
    <x v="2"/>
    <d v="2025-08-10T00:00:00"/>
    <d v="2025-08-10T00:00:00"/>
    <n v="0"/>
    <x v="1"/>
    <x v="1"/>
    <s v="NA"/>
    <s v="Qualified"/>
    <x v="1"/>
    <s v="Pending Follow-up"/>
    <s v="Google Ads Campaign"/>
    <n v="94"/>
    <x v="1"/>
    <s v="OK"/>
    <s v="OK"/>
  </r>
  <r>
    <s v="491716d1-934e-44bb-bbbd-99e248faa360"/>
    <x v="1"/>
    <x v="0"/>
    <d v="2025-06-08T00:00:00"/>
    <d v="2025-01-19T00:00:00"/>
    <n v="3566"/>
    <x v="3"/>
    <x v="0"/>
    <d v="2025-01-10T00:00:00"/>
    <s v="Qualified"/>
    <x v="3"/>
    <s v="Contacted"/>
    <s v="Facebook Ads"/>
    <n v="75"/>
    <x v="2"/>
    <s v="ERROR"/>
    <s v="ERROR"/>
  </r>
  <r>
    <s v="1e312334-6fd4-4adb-a011-9a4338c82487"/>
    <x v="0"/>
    <x v="2"/>
    <d v="2025-09-06T00:00:00"/>
    <d v="2025-09-06T00:00:00"/>
    <n v="0"/>
    <x v="3"/>
    <x v="2"/>
    <s v="NA"/>
    <s v="Qualified"/>
    <x v="2"/>
    <s v="Contacted"/>
    <s v="Google Ads Campaign"/>
    <n v="55"/>
    <x v="0"/>
    <s v="OK"/>
    <s v="OK"/>
  </r>
  <r>
    <s v="17b744d6-4922-48fd-890b-db2f720f39e3"/>
    <x v="0"/>
    <x v="2"/>
    <d v="2025-04-01T00:00:00"/>
    <d v="2025-04-01T00:00:00"/>
    <n v="0"/>
    <x v="2"/>
    <x v="3"/>
    <s v="NA"/>
    <s v="Unqualified"/>
    <x v="2"/>
    <s v="Pending Follow-up"/>
    <s v="Google Ads Campaign"/>
    <n v="47"/>
    <x v="2"/>
    <s v="OK"/>
    <s v="OK"/>
  </r>
  <r>
    <s v="cec2fdfb-4491-4cde-aa72-5c17e3ca658c"/>
    <x v="2"/>
    <x v="0"/>
    <d v="2025-05-16T00:00:00"/>
    <d v="2025-07-12T00:00:00"/>
    <n v="2007"/>
    <x v="1"/>
    <x v="2"/>
    <d v="2025-06-16T00:00:00"/>
    <s v="Unqualified"/>
    <x v="3"/>
    <s v="Completed"/>
    <s v="Google Ads Campaign"/>
    <n v="80"/>
    <x v="1"/>
    <s v="OK"/>
    <s v="OK"/>
  </r>
  <r>
    <s v="14b5fda0-28d8-46a6-85b7-924539222ece"/>
    <x v="0"/>
    <x v="2"/>
    <d v="2025-06-28T00:00:00"/>
    <d v="2025-06-28T00:00:00"/>
    <n v="0"/>
    <x v="2"/>
    <x v="2"/>
    <s v="NA"/>
    <s v="Qualified"/>
    <x v="2"/>
    <s v="Contacted"/>
    <s v="Organic Search"/>
    <n v="76"/>
    <x v="0"/>
    <s v="OK"/>
    <s v="OK"/>
  </r>
  <r>
    <s v="6419547c-4ea2-48c6-9006-ff1e8879806a"/>
    <x v="0"/>
    <x v="1"/>
    <d v="2025-01-28T00:00:00"/>
    <d v="2025-06-21T00:00:00"/>
    <n v="0"/>
    <x v="0"/>
    <x v="0"/>
    <s v="NA"/>
    <s v="Unqualified"/>
    <x v="1"/>
    <s v="No Follow-up"/>
    <s v="Referral Program"/>
    <n v="91"/>
    <x v="1"/>
    <s v="OK"/>
    <s v="OK"/>
  </r>
  <r>
    <s v="91a5a8bb-2280-414a-b4c1-768580056d08"/>
    <x v="0"/>
    <x v="2"/>
    <d v="2025-06-03T00:00:00"/>
    <d v="2025-06-03T00:00:00"/>
    <n v="0"/>
    <x v="3"/>
    <x v="2"/>
    <s v="NA"/>
    <s v="Qualified"/>
    <x v="0"/>
    <s v="Contacted"/>
    <s v="Referral Program"/>
    <n v="67"/>
    <x v="2"/>
    <s v="OK"/>
    <s v="OK"/>
  </r>
  <r>
    <s v="ce35d6e5-44aa-4634-afe3-e27b28ee1d33"/>
    <x v="0"/>
    <x v="0"/>
    <d v="2025-05-31T00:00:00"/>
    <d v="2025-08-17T00:00:00"/>
    <n v="3459"/>
    <x v="1"/>
    <x v="2"/>
    <d v="2025-06-21T00:00:00"/>
    <s v="Unqualified"/>
    <x v="0"/>
    <s v="Contacted"/>
    <s v="Referral Program"/>
    <n v="30"/>
    <x v="2"/>
    <s v="OK"/>
    <s v="OK"/>
  </r>
  <r>
    <s v="10c4e4ab-04ef-466f-bebe-28eb5c5fdd3e"/>
    <x v="0"/>
    <x v="0"/>
    <d v="2025-01-16T00:00:00"/>
    <d v="2025-02-12T00:00:00"/>
    <n v="4475"/>
    <x v="2"/>
    <x v="2"/>
    <d v="2025-09-05T00:00:00"/>
    <s v="Qualified"/>
    <x v="1"/>
    <s v="Contacted"/>
    <s v="Organic Search"/>
    <n v="39"/>
    <x v="1"/>
    <s v="OK"/>
    <s v="OK"/>
  </r>
  <r>
    <s v="a8425849-33ca-4d25-9e25-c778755a0646"/>
    <x v="3"/>
    <x v="2"/>
    <d v="2025-09-01T00:00:00"/>
    <d v="2025-09-01T00:00:00"/>
    <n v="0"/>
    <x v="1"/>
    <x v="3"/>
    <s v="NA"/>
    <s v="Qualified"/>
    <x v="2"/>
    <s v="Pending Follow-up"/>
    <s v="Organic Search"/>
    <n v="69"/>
    <x v="0"/>
    <s v="OK"/>
    <s v="OK"/>
  </r>
  <r>
    <s v="47662d98-3090-4888-b1dd-06c3a131171c"/>
    <x v="1"/>
    <x v="0"/>
    <d v="2025-04-02T00:00:00"/>
    <d v="2025-02-28T00:00:00"/>
    <n v="4109"/>
    <x v="1"/>
    <x v="3"/>
    <d v="2025-01-31T00:00:00"/>
    <s v="Qualified"/>
    <x v="0"/>
    <s v="Completed"/>
    <s v="Facebook Ads"/>
    <n v="42"/>
    <x v="0"/>
    <s v="ERROR"/>
    <s v="ERROR"/>
  </r>
  <r>
    <s v="8eadefd8-573b-41fb-9af3-09e8769c8e0a"/>
    <x v="0"/>
    <x v="0"/>
    <d v="2025-07-15T00:00:00"/>
    <d v="2025-09-10T00:00:00"/>
    <n v="3187"/>
    <x v="3"/>
    <x v="3"/>
    <d v="2025-05-03T00:00:00"/>
    <s v="Qualified"/>
    <x v="3"/>
    <s v="No Follow-up"/>
    <s v="Google Ads Campaign"/>
    <n v="49"/>
    <x v="2"/>
    <s v="OK"/>
    <s v="ERROR"/>
  </r>
  <r>
    <s v="f83bbd4f-8c82-4c09-b083-807736403872"/>
    <x v="0"/>
    <x v="1"/>
    <d v="2025-06-23T00:00:00"/>
    <d v="2025-10-08T00:00:00"/>
    <n v="0"/>
    <x v="0"/>
    <x v="1"/>
    <s v="NA"/>
    <s v="Qualified"/>
    <x v="3"/>
    <s v="Pending Follow-up"/>
    <s v="Referral Program"/>
    <n v="38"/>
    <x v="2"/>
    <s v="OK"/>
    <s v="OK"/>
  </r>
  <r>
    <s v="4951b811-e72a-4c77-bdfb-2c84a32cabdf"/>
    <x v="1"/>
    <x v="2"/>
    <d v="2025-08-28T00:00:00"/>
    <d v="2025-08-28T00:00:00"/>
    <n v="0"/>
    <x v="2"/>
    <x v="1"/>
    <s v="NA"/>
    <s v="Qualified"/>
    <x v="0"/>
    <s v="Contacted"/>
    <s v="Google Ads Campaign"/>
    <n v="31"/>
    <x v="0"/>
    <s v="OK"/>
    <s v="OK"/>
  </r>
  <r>
    <s v="54ff2491-0a2b-41d4-ac9e-b3e6af600101"/>
    <x v="2"/>
    <x v="1"/>
    <d v="2025-06-10T00:00:00"/>
    <d v="2025-09-23T00:00:00"/>
    <n v="0"/>
    <x v="2"/>
    <x v="1"/>
    <s v="NA"/>
    <s v="Qualified"/>
    <x v="3"/>
    <s v="Follow-up Scheduled"/>
    <s v="Organic Search"/>
    <n v="89"/>
    <x v="0"/>
    <s v="OK"/>
    <s v="OK"/>
  </r>
  <r>
    <s v="ff7d8d17-b705-43b0-bb51-0086859cd940"/>
    <x v="2"/>
    <x v="1"/>
    <d v="2025-09-19T00:00:00"/>
    <d v="2025-02-15T00:00:00"/>
    <n v="0"/>
    <x v="0"/>
    <x v="1"/>
    <s v="NA"/>
    <s v="Unqualified"/>
    <x v="3"/>
    <s v="Pending Follow-up"/>
    <s v="Organic Search"/>
    <n v="69"/>
    <x v="2"/>
    <s v="ERROR"/>
    <s v="OK"/>
  </r>
  <r>
    <s v="c69d6da7-1057-4e50-865c-eac06eead3d7"/>
    <x v="3"/>
    <x v="1"/>
    <d v="2025-08-28T00:00:00"/>
    <d v="2025-07-01T00:00:00"/>
    <n v="0"/>
    <x v="2"/>
    <x v="3"/>
    <s v="NA"/>
    <s v="Unqualified"/>
    <x v="0"/>
    <s v="Pending Follow-up"/>
    <s v="Google Ads Campaign"/>
    <n v="30"/>
    <x v="2"/>
    <s v="ERROR"/>
    <s v="OK"/>
  </r>
  <r>
    <s v="174f1c31-6ca4-40ff-b0f7-0570880323ac"/>
    <x v="1"/>
    <x v="2"/>
    <d v="2025-02-15T00:00:00"/>
    <d v="2025-02-15T00:00:00"/>
    <n v="0"/>
    <x v="3"/>
    <x v="2"/>
    <s v="NA"/>
    <s v="Unqualified"/>
    <x v="3"/>
    <s v="Follow-up Scheduled"/>
    <s v="Referral Program"/>
    <n v="64"/>
    <x v="1"/>
    <s v="OK"/>
    <s v="OK"/>
  </r>
  <r>
    <s v="c7c1b764-717d-458d-a326-6ccee20bce7b"/>
    <x v="2"/>
    <x v="2"/>
    <d v="2025-10-07T00:00:00"/>
    <d v="2025-10-07T00:00:00"/>
    <n v="0"/>
    <x v="3"/>
    <x v="3"/>
    <s v="NA"/>
    <s v="Unqualified"/>
    <x v="0"/>
    <s v="Contacted"/>
    <s v="Referral Program"/>
    <n v="95"/>
    <x v="0"/>
    <s v="OK"/>
    <s v="OK"/>
  </r>
  <r>
    <s v="fe5fc581-c80e-41ac-9561-c86bf3c87a81"/>
    <x v="3"/>
    <x v="2"/>
    <d v="2025-01-09T00:00:00"/>
    <d v="2025-01-09T00:00:00"/>
    <n v="0"/>
    <x v="2"/>
    <x v="3"/>
    <s v="NA"/>
    <s v="Qualified"/>
    <x v="3"/>
    <s v="No Follow-up"/>
    <s v="Organic Search"/>
    <n v="42"/>
    <x v="2"/>
    <s v="OK"/>
    <s v="OK"/>
  </r>
  <r>
    <s v="b11537d9-2405-467c-93f4-d3bb9b86ed10"/>
    <x v="2"/>
    <x v="2"/>
    <d v="2025-02-11T00:00:00"/>
    <d v="2025-02-11T00:00:00"/>
    <n v="0"/>
    <x v="0"/>
    <x v="3"/>
    <s v="NA"/>
    <s v="Qualified"/>
    <x v="3"/>
    <s v="Follow-up Scheduled"/>
    <s v="Google Ads Campaign"/>
    <n v="35"/>
    <x v="1"/>
    <s v="OK"/>
    <s v="OK"/>
  </r>
  <r>
    <s v="02a50720-bb14-4ea5-9704-76a461f2a816"/>
    <x v="3"/>
    <x v="0"/>
    <d v="2025-09-11T00:00:00"/>
    <d v="2025-07-24T00:00:00"/>
    <n v="4612"/>
    <x v="2"/>
    <x v="2"/>
    <d v="2025-10-01T00:00:00"/>
    <s v="Qualified"/>
    <x v="3"/>
    <s v="No Follow-up"/>
    <s v="Facebook Ads"/>
    <n v="54"/>
    <x v="2"/>
    <s v="ERROR"/>
    <s v="OK"/>
  </r>
  <r>
    <s v="5cf9edfb-ac48-4dbb-a4e0-0d4ff1a92bf2"/>
    <x v="2"/>
    <x v="1"/>
    <d v="2025-07-30T00:00:00"/>
    <d v="2025-03-23T00:00:00"/>
    <n v="0"/>
    <x v="1"/>
    <x v="0"/>
    <s v="NA"/>
    <s v="Unqualified"/>
    <x v="1"/>
    <s v="Follow-up Scheduled"/>
    <s v="Organic Search"/>
    <n v="46"/>
    <x v="0"/>
    <s v="ERROR"/>
    <s v="OK"/>
  </r>
  <r>
    <s v="5b618ad5-534f-498a-86a3-7d19e83d8f0a"/>
    <x v="2"/>
    <x v="1"/>
    <d v="2025-10-04T00:00:00"/>
    <d v="2025-04-20T00:00:00"/>
    <n v="0"/>
    <x v="1"/>
    <x v="3"/>
    <s v="NA"/>
    <s v="Unqualified"/>
    <x v="3"/>
    <s v="Contacted"/>
    <s v="Referral Program"/>
    <n v="74"/>
    <x v="1"/>
    <s v="ERROR"/>
    <s v="OK"/>
  </r>
  <r>
    <s v="110e67b2-e8cc-4c0e-ac9e-9b2b4f545704"/>
    <x v="0"/>
    <x v="2"/>
    <d v="2025-02-01T00:00:00"/>
    <d v="2025-02-01T00:00:00"/>
    <n v="0"/>
    <x v="1"/>
    <x v="3"/>
    <s v="NA"/>
    <s v="Unqualified"/>
    <x v="0"/>
    <s v="Follow-up Scheduled"/>
    <s v="Organic Search"/>
    <n v="83"/>
    <x v="1"/>
    <s v="OK"/>
    <s v="OK"/>
  </r>
  <r>
    <s v="e03cd364-f195-40bf-8ee3-7bf2e794fd5e"/>
    <x v="3"/>
    <x v="2"/>
    <d v="2025-04-13T00:00:00"/>
    <d v="2025-04-13T00:00:00"/>
    <n v="0"/>
    <x v="0"/>
    <x v="1"/>
    <s v="NA"/>
    <s v="Unqualified"/>
    <x v="0"/>
    <s v="Follow-up Scheduled"/>
    <s v="Referral Program"/>
    <n v="71"/>
    <x v="2"/>
    <s v="OK"/>
    <s v="OK"/>
  </r>
  <r>
    <s v="04930f16-333e-48e9-85e0-1a976470d8d7"/>
    <x v="2"/>
    <x v="1"/>
    <d v="2025-05-30T00:00:00"/>
    <d v="2025-04-26T00:00:00"/>
    <n v="0"/>
    <x v="0"/>
    <x v="2"/>
    <s v="NA"/>
    <s v="Unqualified"/>
    <x v="2"/>
    <s v="No Follow-up"/>
    <s v="Facebook Ads"/>
    <n v="54"/>
    <x v="2"/>
    <s v="ERROR"/>
    <s v="OK"/>
  </r>
  <r>
    <s v="91b01570-a2d5-4e7a-9b3a-bd65d2802430"/>
    <x v="0"/>
    <x v="1"/>
    <d v="2025-03-28T00:00:00"/>
    <d v="2025-04-25T00:00:00"/>
    <n v="0"/>
    <x v="0"/>
    <x v="1"/>
    <s v="NA"/>
    <s v="Qualified"/>
    <x v="3"/>
    <s v="Contacted"/>
    <s v="Google Ads Campaign"/>
    <n v="91"/>
    <x v="1"/>
    <s v="OK"/>
    <s v="OK"/>
  </r>
  <r>
    <s v="4b1a2945-80c0-42bf-9824-ab31ceec7d54"/>
    <x v="2"/>
    <x v="2"/>
    <d v="2025-06-12T00:00:00"/>
    <d v="2025-06-12T00:00:00"/>
    <n v="0"/>
    <x v="3"/>
    <x v="1"/>
    <s v="NA"/>
    <s v="Unqualified"/>
    <x v="2"/>
    <s v="No Follow-up"/>
    <s v="Referral Program"/>
    <n v="32"/>
    <x v="2"/>
    <s v="OK"/>
    <s v="OK"/>
  </r>
  <r>
    <s v="ae8b039b-481a-4694-be95-452519683a97"/>
    <x v="3"/>
    <x v="1"/>
    <d v="2025-03-27T00:00:00"/>
    <d v="2025-06-20T00:00:00"/>
    <n v="0"/>
    <x v="0"/>
    <x v="2"/>
    <s v="NA"/>
    <s v="Unqualified"/>
    <x v="3"/>
    <s v="Follow-up Scheduled"/>
    <s v="Facebook Ads"/>
    <n v="45"/>
    <x v="0"/>
    <s v="OK"/>
    <s v="OK"/>
  </r>
  <r>
    <s v="f02c2877-0a74-4d88-a463-0c3da1d01132"/>
    <x v="3"/>
    <x v="1"/>
    <d v="2025-08-12T00:00:00"/>
    <d v="2025-10-01T00:00:00"/>
    <n v="0"/>
    <x v="2"/>
    <x v="0"/>
    <s v="NA"/>
    <s v="Qualified"/>
    <x v="1"/>
    <s v="Pending Follow-up"/>
    <s v="Google Ads Campaign"/>
    <n v="61"/>
    <x v="1"/>
    <s v="OK"/>
    <s v="OK"/>
  </r>
  <r>
    <s v="308411cd-132c-4593-b5ec-164226cc5b15"/>
    <x v="3"/>
    <x v="2"/>
    <d v="2025-06-11T00:00:00"/>
    <d v="2025-06-11T00:00:00"/>
    <n v="0"/>
    <x v="2"/>
    <x v="0"/>
    <s v="NA"/>
    <s v="Qualified"/>
    <x v="3"/>
    <s v="Pending Follow-up"/>
    <s v="Referral Program"/>
    <n v="63"/>
    <x v="0"/>
    <s v="OK"/>
    <s v="OK"/>
  </r>
  <r>
    <s v="0fa4bd94-1274-47e5-b4c5-ff28c187c482"/>
    <x v="3"/>
    <x v="2"/>
    <d v="2025-05-22T00:00:00"/>
    <d v="2025-05-22T00:00:00"/>
    <n v="0"/>
    <x v="1"/>
    <x v="3"/>
    <s v="NA"/>
    <s v="Qualified"/>
    <x v="0"/>
    <s v="Contacted"/>
    <s v="Google Ads Campaign"/>
    <n v="41"/>
    <x v="2"/>
    <s v="OK"/>
    <s v="OK"/>
  </r>
  <r>
    <s v="f5f455c9-ffd7-463d-a209-9eec40040806"/>
    <x v="2"/>
    <x v="1"/>
    <d v="2025-06-01T00:00:00"/>
    <d v="2025-01-20T00:00:00"/>
    <n v="0"/>
    <x v="2"/>
    <x v="0"/>
    <s v="NA"/>
    <s v="Unqualified"/>
    <x v="0"/>
    <s v="Pending Follow-up"/>
    <s v="Google Ads Campaign"/>
    <n v="62"/>
    <x v="0"/>
    <s v="ERROR"/>
    <s v="OK"/>
  </r>
  <r>
    <s v="aa4de7b3-bb90-4261-8436-5f917895f117"/>
    <x v="2"/>
    <x v="0"/>
    <d v="2025-09-20T00:00:00"/>
    <d v="2025-03-24T00:00:00"/>
    <n v="3798"/>
    <x v="3"/>
    <x v="0"/>
    <d v="2025-02-16T00:00:00"/>
    <s v="Unqualified"/>
    <x v="0"/>
    <s v="No Follow-up"/>
    <s v="Referral Program"/>
    <n v="45"/>
    <x v="0"/>
    <s v="ERROR"/>
    <s v="ERROR"/>
  </r>
  <r>
    <s v="fd7ef71c-920f-406c-ba1b-ba18fe009186"/>
    <x v="2"/>
    <x v="1"/>
    <d v="2025-03-07T00:00:00"/>
    <d v="2025-03-27T00:00:00"/>
    <n v="0"/>
    <x v="1"/>
    <x v="1"/>
    <s v="NA"/>
    <s v="Unqualified"/>
    <x v="0"/>
    <s v="Pending Follow-up"/>
    <s v="Organic Search"/>
    <n v="39"/>
    <x v="0"/>
    <s v="OK"/>
    <s v="OK"/>
  </r>
  <r>
    <s v="b32e3574-562e-4ead-89b2-fd00c80084a5"/>
    <x v="3"/>
    <x v="1"/>
    <d v="2025-01-12T00:00:00"/>
    <d v="2025-09-19T00:00:00"/>
    <n v="0"/>
    <x v="1"/>
    <x v="1"/>
    <s v="NA"/>
    <s v="Qualified"/>
    <x v="0"/>
    <s v="Contacted"/>
    <s v="Referral Program"/>
    <n v="68"/>
    <x v="0"/>
    <s v="OK"/>
    <s v="OK"/>
  </r>
  <r>
    <s v="41e55303-cc2c-4a7e-b6f8-e55071e29ff2"/>
    <x v="2"/>
    <x v="0"/>
    <d v="2025-03-22T00:00:00"/>
    <d v="2025-01-14T00:00:00"/>
    <n v="4574"/>
    <x v="3"/>
    <x v="2"/>
    <d v="2025-08-04T00:00:00"/>
    <s v="Unqualified"/>
    <x v="0"/>
    <s v="Completed"/>
    <s v="Facebook Ads"/>
    <n v="78"/>
    <x v="0"/>
    <s v="ERROR"/>
    <s v="OK"/>
  </r>
  <r>
    <s v="f9292b3f-e5db-4b48-af74-6a8e2e13fcfb"/>
    <x v="3"/>
    <x v="0"/>
    <d v="2025-06-30T00:00:00"/>
    <d v="2025-08-29T00:00:00"/>
    <n v="3558"/>
    <x v="3"/>
    <x v="0"/>
    <d v="2025-07-09T00:00:00"/>
    <s v="Qualified"/>
    <x v="2"/>
    <s v="Completed"/>
    <s v="Facebook Ads"/>
    <n v="48"/>
    <x v="1"/>
    <s v="OK"/>
    <s v="OK"/>
  </r>
  <r>
    <s v="12dfa3a8-e4b2-48e6-9607-2ff063d7d2ed"/>
    <x v="0"/>
    <x v="0"/>
    <d v="2025-06-17T00:00:00"/>
    <d v="2025-02-20T00:00:00"/>
    <n v="3229"/>
    <x v="0"/>
    <x v="0"/>
    <d v="2025-10-05T00:00:00"/>
    <s v="Qualified"/>
    <x v="2"/>
    <s v="Completed"/>
    <s v="Google Ads Campaign"/>
    <n v="85"/>
    <x v="0"/>
    <s v="ERROR"/>
    <s v="OK"/>
  </r>
  <r>
    <s v="d16201b8-49fb-46ac-92b3-4011eaee3c8d"/>
    <x v="3"/>
    <x v="1"/>
    <d v="2025-04-21T00:00:00"/>
    <d v="2025-07-20T00:00:00"/>
    <n v="0"/>
    <x v="2"/>
    <x v="2"/>
    <s v="NA"/>
    <s v="Unqualified"/>
    <x v="3"/>
    <s v="Contacted"/>
    <s v="Google Ads Campaign"/>
    <n v="52"/>
    <x v="0"/>
    <s v="OK"/>
    <s v="OK"/>
  </r>
  <r>
    <s v="3e24a4bc-9026-4ad1-9042-c233c050d08f"/>
    <x v="1"/>
    <x v="1"/>
    <d v="2025-04-24T00:00:00"/>
    <d v="2025-08-12T00:00:00"/>
    <n v="0"/>
    <x v="0"/>
    <x v="0"/>
    <s v="NA"/>
    <s v="Unqualified"/>
    <x v="1"/>
    <s v="No Follow-up"/>
    <s v="Facebook Ads"/>
    <n v="92"/>
    <x v="0"/>
    <s v="OK"/>
    <s v="OK"/>
  </r>
  <r>
    <s v="1afc761a-a9f5-419c-9d09-dbe16b33a9ee"/>
    <x v="2"/>
    <x v="0"/>
    <d v="2025-02-20T00:00:00"/>
    <d v="2025-02-01T00:00:00"/>
    <n v="4310"/>
    <x v="2"/>
    <x v="3"/>
    <d v="2025-02-03T00:00:00"/>
    <s v="Unqualified"/>
    <x v="0"/>
    <s v="Completed"/>
    <s v="Organic Search"/>
    <n v="40"/>
    <x v="0"/>
    <s v="ERROR"/>
    <s v="ERROR"/>
  </r>
  <r>
    <s v="dfb6f107-3643-42a7-89cd-5832708b653e"/>
    <x v="1"/>
    <x v="2"/>
    <d v="2025-06-05T00:00:00"/>
    <d v="2025-06-05T00:00:00"/>
    <n v="0"/>
    <x v="1"/>
    <x v="0"/>
    <s v="NA"/>
    <s v="Unqualified"/>
    <x v="1"/>
    <s v="No Follow-up"/>
    <s v="Google Ads Campaign"/>
    <n v="92"/>
    <x v="0"/>
    <s v="OK"/>
    <s v="OK"/>
  </r>
  <r>
    <s v="6601f335-c0ce-4e47-a4a3-b265bae217ba"/>
    <x v="3"/>
    <x v="0"/>
    <d v="2025-01-14T00:00:00"/>
    <d v="2025-06-29T00:00:00"/>
    <n v="4411"/>
    <x v="3"/>
    <x v="2"/>
    <d v="2025-08-07T00:00:00"/>
    <s v="Unqualified"/>
    <x v="1"/>
    <s v="No Follow-up"/>
    <s v="Referral Program"/>
    <n v="79"/>
    <x v="1"/>
    <s v="OK"/>
    <s v="OK"/>
  </r>
  <r>
    <s v="f87ced4f-6dea-4f7c-871a-88345e66e029"/>
    <x v="0"/>
    <x v="1"/>
    <d v="2025-04-28T00:00:00"/>
    <d v="2025-10-13T00:00:00"/>
    <n v="0"/>
    <x v="2"/>
    <x v="1"/>
    <s v="NA"/>
    <s v="Qualified"/>
    <x v="2"/>
    <s v="Follow-up Scheduled"/>
    <s v="Google Ads Campaign"/>
    <n v="44"/>
    <x v="1"/>
    <s v="OK"/>
    <s v="OK"/>
  </r>
  <r>
    <s v="655bd6ae-5673-45f9-b00e-78be1bdf3d94"/>
    <x v="2"/>
    <x v="2"/>
    <d v="2025-10-12T00:00:00"/>
    <d v="2025-10-12T00:00:00"/>
    <n v="0"/>
    <x v="0"/>
    <x v="0"/>
    <s v="NA"/>
    <s v="Qualified"/>
    <x v="3"/>
    <s v="No Follow-up"/>
    <s v="Facebook Ads"/>
    <n v="53"/>
    <x v="0"/>
    <s v="OK"/>
    <s v="OK"/>
  </r>
  <r>
    <s v="dfbdca43-d5d0-42bd-97bf-c876521427f3"/>
    <x v="3"/>
    <x v="0"/>
    <d v="2025-08-03T00:00:00"/>
    <d v="2025-06-22T00:00:00"/>
    <n v="2033"/>
    <x v="0"/>
    <x v="2"/>
    <d v="2025-09-20T00:00:00"/>
    <s v="Qualified"/>
    <x v="1"/>
    <s v="Contacted"/>
    <s v="Google Ads Campaign"/>
    <n v="31"/>
    <x v="2"/>
    <s v="ERROR"/>
    <s v="OK"/>
  </r>
  <r>
    <s v="98a8f3fb-a8ac-432b-9e07-694f0799d8fc"/>
    <x v="1"/>
    <x v="1"/>
    <d v="2025-06-13T00:00:00"/>
    <d v="2025-06-20T00:00:00"/>
    <n v="0"/>
    <x v="1"/>
    <x v="3"/>
    <s v="NA"/>
    <s v="Qualified"/>
    <x v="0"/>
    <s v="Follow-up Scheduled"/>
    <s v="Facebook Ads"/>
    <n v="30"/>
    <x v="1"/>
    <s v="OK"/>
    <s v="OK"/>
  </r>
  <r>
    <s v="ecdee356-1775-417b-929e-7d245fe82ea1"/>
    <x v="1"/>
    <x v="2"/>
    <d v="2025-03-24T00:00:00"/>
    <d v="2025-03-24T00:00:00"/>
    <n v="0"/>
    <x v="2"/>
    <x v="0"/>
    <s v="NA"/>
    <s v="Qualified"/>
    <x v="2"/>
    <s v="No Follow-up"/>
    <s v="Facebook Ads"/>
    <n v="68"/>
    <x v="0"/>
    <s v="OK"/>
    <s v="OK"/>
  </r>
  <r>
    <s v="eb2824e2-397d-4831-90e3-cd32046fc384"/>
    <x v="1"/>
    <x v="1"/>
    <d v="2025-09-16T00:00:00"/>
    <d v="2025-06-07T00:00:00"/>
    <n v="0"/>
    <x v="1"/>
    <x v="0"/>
    <s v="NA"/>
    <s v="Unqualified"/>
    <x v="1"/>
    <s v="Contacted"/>
    <s v="Referral Program"/>
    <n v="77"/>
    <x v="0"/>
    <s v="ERROR"/>
    <s v="OK"/>
  </r>
  <r>
    <s v="488a885a-c67c-437a-ac29-0690ea589dde"/>
    <x v="0"/>
    <x v="1"/>
    <d v="2025-07-15T00:00:00"/>
    <d v="2025-09-16T00:00:00"/>
    <n v="0"/>
    <x v="3"/>
    <x v="1"/>
    <s v="NA"/>
    <s v="Qualified"/>
    <x v="0"/>
    <s v="No Follow-up"/>
    <s v="Google Ads Campaign"/>
    <n v="83"/>
    <x v="0"/>
    <s v="OK"/>
    <s v="OK"/>
  </r>
  <r>
    <s v="ff9b6aa6-9bbe-42be-9db8-b000e2d00da0"/>
    <x v="1"/>
    <x v="1"/>
    <d v="2025-03-21T00:00:00"/>
    <d v="2025-01-18T00:00:00"/>
    <n v="0"/>
    <x v="0"/>
    <x v="0"/>
    <s v="NA"/>
    <s v="Unqualified"/>
    <x v="3"/>
    <s v="No Follow-up"/>
    <s v="Facebook Ads"/>
    <n v="64"/>
    <x v="2"/>
    <s v="ERROR"/>
    <s v="OK"/>
  </r>
  <r>
    <s v="459e556c-3948-4ebf-83a1-ff5d2f015fe9"/>
    <x v="1"/>
    <x v="1"/>
    <d v="2025-02-27T00:00:00"/>
    <d v="2025-01-05T00:00:00"/>
    <n v="0"/>
    <x v="2"/>
    <x v="3"/>
    <s v="NA"/>
    <s v="Qualified"/>
    <x v="0"/>
    <s v="No Follow-up"/>
    <s v="Google Ads Campaign"/>
    <n v="81"/>
    <x v="2"/>
    <s v="ERROR"/>
    <s v="OK"/>
  </r>
  <r>
    <s v="89b3d365-dcda-4dab-9aa8-f6dcf0ab86e1"/>
    <x v="1"/>
    <x v="0"/>
    <d v="2025-09-19T00:00:00"/>
    <d v="2025-04-18T00:00:00"/>
    <n v="4957"/>
    <x v="2"/>
    <x v="2"/>
    <d v="2025-08-01T00:00:00"/>
    <s v="Unqualified"/>
    <x v="3"/>
    <s v="Completed"/>
    <s v="Google Ads Campaign"/>
    <n v="57"/>
    <x v="0"/>
    <s v="ERROR"/>
    <s v="ERROR"/>
  </r>
  <r>
    <s v="0d580aed-d820-43ed-89c2-9baff6a2b66d"/>
    <x v="2"/>
    <x v="1"/>
    <d v="2025-03-11T00:00:00"/>
    <d v="2025-07-25T00:00:00"/>
    <n v="0"/>
    <x v="1"/>
    <x v="2"/>
    <s v="NA"/>
    <s v="Qualified"/>
    <x v="3"/>
    <s v="Follow-up Scheduled"/>
    <s v="Referral Program"/>
    <n v="83"/>
    <x v="1"/>
    <s v="OK"/>
    <s v="OK"/>
  </r>
  <r>
    <s v="5e6c4f52-c64f-44f7-b631-3056bdddf94e"/>
    <x v="3"/>
    <x v="0"/>
    <d v="2025-01-19T00:00:00"/>
    <d v="2025-04-07T00:00:00"/>
    <n v="4365"/>
    <x v="1"/>
    <x v="1"/>
    <d v="2025-02-14T00:00:00"/>
    <s v="Qualified"/>
    <x v="3"/>
    <s v="Contacted"/>
    <s v="Organic Search"/>
    <n v="57"/>
    <x v="2"/>
    <s v="OK"/>
    <s v="OK"/>
  </r>
  <r>
    <s v="1ae2aa31-c9e8-465e-b11e-d96b92b73d6d"/>
    <x v="1"/>
    <x v="2"/>
    <d v="2025-07-14T00:00:00"/>
    <d v="2025-07-14T00:00:00"/>
    <n v="0"/>
    <x v="3"/>
    <x v="2"/>
    <s v="NA"/>
    <s v="Qualified"/>
    <x v="0"/>
    <s v="Contacted"/>
    <s v="Referral Program"/>
    <n v="94"/>
    <x v="2"/>
    <s v="OK"/>
    <s v="OK"/>
  </r>
  <r>
    <s v="69f13d34-7efd-4893-9aa5-b65a00679d26"/>
    <x v="2"/>
    <x v="0"/>
    <d v="2025-09-09T00:00:00"/>
    <d v="2025-02-20T00:00:00"/>
    <n v="2258"/>
    <x v="2"/>
    <x v="3"/>
    <d v="2025-05-14T00:00:00"/>
    <s v="Qualified"/>
    <x v="3"/>
    <s v="Completed"/>
    <s v="Google Ads Campaign"/>
    <n v="84"/>
    <x v="0"/>
    <s v="ERROR"/>
    <s v="ERROR"/>
  </r>
  <r>
    <s v="81afe7b8-8b78-4cdc-96fe-0c9ef63f7ace"/>
    <x v="2"/>
    <x v="0"/>
    <d v="2025-03-04T00:00:00"/>
    <d v="2025-03-11T00:00:00"/>
    <n v="4589"/>
    <x v="1"/>
    <x v="3"/>
    <d v="2025-05-28T00:00:00"/>
    <s v="Qualified"/>
    <x v="1"/>
    <s v="Completed"/>
    <s v="Referral Program"/>
    <n v="50"/>
    <x v="1"/>
    <s v="OK"/>
    <s v="OK"/>
  </r>
  <r>
    <s v="d0dba772-4e17-4699-b868-9fa06c1f4388"/>
    <x v="3"/>
    <x v="2"/>
    <d v="2025-06-07T00:00:00"/>
    <d v="2025-06-07T00:00:00"/>
    <n v="0"/>
    <x v="2"/>
    <x v="3"/>
    <s v="NA"/>
    <s v="Qualified"/>
    <x v="0"/>
    <s v="Pending Follow-up"/>
    <s v="Referral Program"/>
    <n v="95"/>
    <x v="2"/>
    <s v="OK"/>
    <s v="OK"/>
  </r>
  <r>
    <s v="04003149-35e4-4cf8-b3ee-af5edb6f1495"/>
    <x v="2"/>
    <x v="0"/>
    <d v="2025-05-31T00:00:00"/>
    <d v="2025-02-06T00:00:00"/>
    <n v="2184"/>
    <x v="3"/>
    <x v="3"/>
    <d v="2025-09-01T00:00:00"/>
    <s v="Qualified"/>
    <x v="3"/>
    <s v="No Follow-up"/>
    <s v="Referral Program"/>
    <n v="82"/>
    <x v="2"/>
    <s v="ERROR"/>
    <s v="OK"/>
  </r>
  <r>
    <s v="9d716d82-3d4a-4efc-af67-951516bef323"/>
    <x v="0"/>
    <x v="1"/>
    <d v="2025-02-16T00:00:00"/>
    <d v="2025-08-03T00:00:00"/>
    <n v="0"/>
    <x v="0"/>
    <x v="3"/>
    <s v="NA"/>
    <s v="Unqualified"/>
    <x v="3"/>
    <s v="Pending Follow-up"/>
    <s v="Facebook Ads"/>
    <n v="32"/>
    <x v="0"/>
    <s v="OK"/>
    <s v="OK"/>
  </r>
  <r>
    <s v="1181a619-5d5f-4b8d-ac0f-9ac0e584643f"/>
    <x v="2"/>
    <x v="2"/>
    <d v="2025-02-02T00:00:00"/>
    <d v="2025-02-02T00:00:00"/>
    <n v="0"/>
    <x v="0"/>
    <x v="3"/>
    <s v="NA"/>
    <s v="Qualified"/>
    <x v="2"/>
    <s v="Follow-up Scheduled"/>
    <s v="Organic Search"/>
    <n v="56"/>
    <x v="1"/>
    <s v="OK"/>
    <s v="OK"/>
  </r>
  <r>
    <s v="d18f40e6-1ef9-4550-826e-f76c6c07154c"/>
    <x v="1"/>
    <x v="0"/>
    <d v="2025-07-09T00:00:00"/>
    <d v="2025-02-20T00:00:00"/>
    <n v="2707"/>
    <x v="3"/>
    <x v="2"/>
    <d v="2025-02-20T00:00:00"/>
    <s v="Unqualified"/>
    <x v="2"/>
    <s v="No Follow-up"/>
    <s v="Facebook Ads"/>
    <n v="72"/>
    <x v="1"/>
    <s v="ERROR"/>
    <s v="ERROR"/>
  </r>
  <r>
    <s v="31699b2a-0891-44ca-a176-09609967e56f"/>
    <x v="1"/>
    <x v="1"/>
    <d v="2025-05-15T00:00:00"/>
    <d v="2025-02-03T00:00:00"/>
    <n v="0"/>
    <x v="0"/>
    <x v="1"/>
    <s v="NA"/>
    <s v="Qualified"/>
    <x v="3"/>
    <s v="No Follow-up"/>
    <s v="Organic Search"/>
    <n v="43"/>
    <x v="0"/>
    <s v="ERROR"/>
    <s v="OK"/>
  </r>
  <r>
    <s v="67a9fb9e-80cc-4db4-a0e3-98b1bf8dd7a8"/>
    <x v="3"/>
    <x v="1"/>
    <d v="2025-01-22T00:00:00"/>
    <d v="2025-01-02T00:00:00"/>
    <n v="0"/>
    <x v="2"/>
    <x v="2"/>
    <s v="NA"/>
    <s v="Unqualified"/>
    <x v="1"/>
    <s v="No Follow-up"/>
    <s v="Organic Search"/>
    <n v="48"/>
    <x v="2"/>
    <s v="ERROR"/>
    <s v="OK"/>
  </r>
  <r>
    <s v="8cc28bc7-938e-48b1-83fd-f86d9f7ea4e4"/>
    <x v="1"/>
    <x v="1"/>
    <d v="2025-07-10T00:00:00"/>
    <d v="2025-10-07T00:00:00"/>
    <n v="0"/>
    <x v="0"/>
    <x v="2"/>
    <s v="NA"/>
    <s v="Unqualified"/>
    <x v="3"/>
    <s v="Follow-up Scheduled"/>
    <s v="Referral Program"/>
    <n v="43"/>
    <x v="0"/>
    <s v="OK"/>
    <s v="OK"/>
  </r>
  <r>
    <s v="b65f525d-cb3b-4448-b391-1077f18ca8ef"/>
    <x v="0"/>
    <x v="2"/>
    <d v="2025-03-08T00:00:00"/>
    <d v="2025-03-08T00:00:00"/>
    <n v="0"/>
    <x v="3"/>
    <x v="3"/>
    <s v="NA"/>
    <s v="Unqualified"/>
    <x v="1"/>
    <s v="No Follow-up"/>
    <s v="Organic Search"/>
    <n v="92"/>
    <x v="0"/>
    <s v="OK"/>
    <s v="OK"/>
  </r>
  <r>
    <s v="b89018d3-291d-4013-8f6b-5901b49b0242"/>
    <x v="3"/>
    <x v="2"/>
    <d v="2025-06-18T00:00:00"/>
    <d v="2025-06-18T00:00:00"/>
    <n v="0"/>
    <x v="2"/>
    <x v="1"/>
    <s v="NA"/>
    <s v="Qualified"/>
    <x v="1"/>
    <s v="Pending Follow-up"/>
    <s v="Referral Program"/>
    <n v="49"/>
    <x v="2"/>
    <s v="OK"/>
    <s v="OK"/>
  </r>
  <r>
    <s v="6ac134d6-9ca7-4002-81e6-7a2940d2d25f"/>
    <x v="2"/>
    <x v="0"/>
    <d v="2025-07-15T00:00:00"/>
    <d v="2025-01-02T00:00:00"/>
    <n v="4898"/>
    <x v="1"/>
    <x v="1"/>
    <d v="2025-01-17T00:00:00"/>
    <s v="Unqualified"/>
    <x v="1"/>
    <s v="No Follow-up"/>
    <s v="Google Ads Campaign"/>
    <n v="61"/>
    <x v="2"/>
    <s v="ERROR"/>
    <s v="ERROR"/>
  </r>
  <r>
    <s v="d188ad35-6a25-49b0-9ea9-3b9540c27e36"/>
    <x v="1"/>
    <x v="0"/>
    <d v="2025-01-26T00:00:00"/>
    <d v="2025-01-06T00:00:00"/>
    <n v="4574"/>
    <x v="0"/>
    <x v="2"/>
    <d v="2025-03-14T00:00:00"/>
    <s v="Unqualified"/>
    <x v="0"/>
    <s v="Completed"/>
    <s v="Google Ads Campaign"/>
    <n v="48"/>
    <x v="2"/>
    <s v="ERROR"/>
    <s v="OK"/>
  </r>
  <r>
    <s v="6492b445-9fb1-43f8-a4c7-f8b32b9cdcb3"/>
    <x v="2"/>
    <x v="1"/>
    <d v="2025-01-23T00:00:00"/>
    <d v="2025-07-21T00:00:00"/>
    <n v="0"/>
    <x v="0"/>
    <x v="0"/>
    <s v="NA"/>
    <s v="Unqualified"/>
    <x v="3"/>
    <s v="Pending Follow-up"/>
    <s v="Facebook Ads"/>
    <n v="85"/>
    <x v="1"/>
    <s v="OK"/>
    <s v="OK"/>
  </r>
  <r>
    <s v="68c23942-df9f-4c03-b212-9eab7a24e12b"/>
    <x v="1"/>
    <x v="0"/>
    <d v="2025-05-19T00:00:00"/>
    <d v="2025-05-04T00:00:00"/>
    <n v="2879"/>
    <x v="0"/>
    <x v="1"/>
    <d v="2025-06-14T00:00:00"/>
    <s v="Qualified"/>
    <x v="0"/>
    <s v="Completed"/>
    <s v="Facebook Ads"/>
    <n v="61"/>
    <x v="2"/>
    <s v="ERROR"/>
    <s v="OK"/>
  </r>
  <r>
    <s v="fe5c85d4-abee-4293-b048-91a7364d3f2b"/>
    <x v="1"/>
    <x v="1"/>
    <d v="2025-07-14T00:00:00"/>
    <d v="2025-03-28T00:00:00"/>
    <n v="0"/>
    <x v="3"/>
    <x v="0"/>
    <s v="NA"/>
    <s v="Unqualified"/>
    <x v="3"/>
    <s v="Pending Follow-up"/>
    <s v="Facebook Ads"/>
    <n v="69"/>
    <x v="2"/>
    <s v="ERROR"/>
    <s v="OK"/>
  </r>
  <r>
    <s v="36df09ce-525e-4b2c-8a36-7f70076a1f4b"/>
    <x v="2"/>
    <x v="1"/>
    <d v="2025-01-07T00:00:00"/>
    <d v="2025-02-12T00:00:00"/>
    <n v="0"/>
    <x v="3"/>
    <x v="3"/>
    <s v="NA"/>
    <s v="Qualified"/>
    <x v="2"/>
    <s v="Follow-up Scheduled"/>
    <s v="Google Ads Campaign"/>
    <n v="62"/>
    <x v="0"/>
    <s v="OK"/>
    <s v="OK"/>
  </r>
  <r>
    <s v="e1e1525a-7231-4950-8039-0ae3d6d1705f"/>
    <x v="1"/>
    <x v="1"/>
    <d v="2025-02-18T00:00:00"/>
    <d v="2025-07-17T00:00:00"/>
    <n v="0"/>
    <x v="2"/>
    <x v="3"/>
    <s v="NA"/>
    <s v="Unqualified"/>
    <x v="3"/>
    <s v="Contacted"/>
    <s v="Facebook Ads"/>
    <n v="50"/>
    <x v="1"/>
    <s v="OK"/>
    <s v="OK"/>
  </r>
  <r>
    <s v="df55242f-8fb4-4af7-a972-f4b152d5d6be"/>
    <x v="1"/>
    <x v="0"/>
    <d v="2025-06-23T00:00:00"/>
    <d v="2025-02-02T00:00:00"/>
    <n v="3106"/>
    <x v="1"/>
    <x v="1"/>
    <d v="2025-09-28T00:00:00"/>
    <s v="Unqualified"/>
    <x v="2"/>
    <s v="No Follow-up"/>
    <s v="Google Ads Campaign"/>
    <n v="83"/>
    <x v="2"/>
    <s v="ERROR"/>
    <s v="OK"/>
  </r>
  <r>
    <s v="515430b1-18b4-4b9f-9c1b-c511e116d99c"/>
    <x v="3"/>
    <x v="1"/>
    <d v="2025-01-14T00:00:00"/>
    <d v="2025-05-23T00:00:00"/>
    <n v="0"/>
    <x v="3"/>
    <x v="3"/>
    <s v="NA"/>
    <s v="Qualified"/>
    <x v="0"/>
    <s v="Pending Follow-up"/>
    <s v="Organic Search"/>
    <n v="35"/>
    <x v="1"/>
    <s v="OK"/>
    <s v="OK"/>
  </r>
  <r>
    <s v="c0457649-cef0-4ae1-9835-c1c1d1aabc6f"/>
    <x v="2"/>
    <x v="2"/>
    <d v="2025-01-19T00:00:00"/>
    <d v="2025-01-19T00:00:00"/>
    <n v="0"/>
    <x v="0"/>
    <x v="2"/>
    <s v="NA"/>
    <s v="Unqualified"/>
    <x v="1"/>
    <s v="Pending Follow-up"/>
    <s v="Facebook Ads"/>
    <n v="85"/>
    <x v="0"/>
    <s v="OK"/>
    <s v="OK"/>
  </r>
  <r>
    <s v="910465d3-e6d0-4ba7-a252-fefe0c77ecf1"/>
    <x v="3"/>
    <x v="1"/>
    <d v="2025-09-26T00:00:00"/>
    <d v="2025-03-20T00:00:00"/>
    <n v="0"/>
    <x v="2"/>
    <x v="3"/>
    <s v="NA"/>
    <s v="Qualified"/>
    <x v="0"/>
    <s v="Contacted"/>
    <s v="Organic Search"/>
    <n v="48"/>
    <x v="1"/>
    <s v="ERROR"/>
    <s v="OK"/>
  </r>
  <r>
    <s v="b967bbff-734d-40d5-9976-37232970c8d4"/>
    <x v="2"/>
    <x v="2"/>
    <d v="2025-07-31T00:00:00"/>
    <d v="2025-07-31T00:00:00"/>
    <n v="0"/>
    <x v="3"/>
    <x v="1"/>
    <s v="NA"/>
    <s v="Unqualified"/>
    <x v="3"/>
    <s v="Pending Follow-up"/>
    <s v="Referral Program"/>
    <n v="90"/>
    <x v="1"/>
    <s v="OK"/>
    <s v="OK"/>
  </r>
  <r>
    <s v="c66c6145-6a86-4ca5-b660-61fbbd03fe46"/>
    <x v="3"/>
    <x v="1"/>
    <d v="2025-07-29T00:00:00"/>
    <d v="2025-02-27T00:00:00"/>
    <n v="0"/>
    <x v="1"/>
    <x v="3"/>
    <s v="NA"/>
    <s v="Unqualified"/>
    <x v="2"/>
    <s v="No Follow-up"/>
    <s v="Organic Search"/>
    <n v="95"/>
    <x v="1"/>
    <s v="ERROR"/>
    <s v="OK"/>
  </r>
  <r>
    <s v="6bf6abf8-fbc2-4b79-a0e2-864bb3599317"/>
    <x v="2"/>
    <x v="0"/>
    <d v="2025-01-19T00:00:00"/>
    <d v="2025-04-24T00:00:00"/>
    <n v="4732"/>
    <x v="3"/>
    <x v="1"/>
    <d v="2025-10-01T00:00:00"/>
    <s v="Unqualified"/>
    <x v="0"/>
    <s v="No Follow-up"/>
    <s v="Organic Search"/>
    <n v="52"/>
    <x v="2"/>
    <s v="OK"/>
    <s v="OK"/>
  </r>
  <r>
    <s v="0c74fb30-9f88-48d2-a502-72873a82f3d8"/>
    <x v="3"/>
    <x v="1"/>
    <d v="2025-02-18T00:00:00"/>
    <d v="2025-07-19T00:00:00"/>
    <n v="0"/>
    <x v="0"/>
    <x v="1"/>
    <s v="NA"/>
    <s v="Unqualified"/>
    <x v="1"/>
    <s v="Pending Follow-up"/>
    <s v="Referral Program"/>
    <n v="47"/>
    <x v="1"/>
    <s v="OK"/>
    <s v="OK"/>
  </r>
  <r>
    <s v="dbbbd40c-7776-439a-99d6-641f631966e6"/>
    <x v="2"/>
    <x v="0"/>
    <d v="2025-03-11T00:00:00"/>
    <d v="2025-06-01T00:00:00"/>
    <n v="2281"/>
    <x v="2"/>
    <x v="1"/>
    <d v="2025-09-06T00:00:00"/>
    <s v="Unqualified"/>
    <x v="2"/>
    <s v="Contacted"/>
    <s v="Organic Search"/>
    <n v="33"/>
    <x v="1"/>
    <s v="OK"/>
    <s v="OK"/>
  </r>
  <r>
    <s v="ddae06bf-758d-4669-9d9d-e8274a7a68b7"/>
    <x v="3"/>
    <x v="0"/>
    <d v="2025-06-19T00:00:00"/>
    <d v="2025-07-23T00:00:00"/>
    <n v="2943"/>
    <x v="0"/>
    <x v="3"/>
    <d v="2025-02-22T00:00:00"/>
    <s v="Qualified"/>
    <x v="0"/>
    <s v="Contacted"/>
    <s v="Organic Search"/>
    <n v="59"/>
    <x v="2"/>
    <s v="OK"/>
    <s v="ERROR"/>
  </r>
  <r>
    <s v="f2ec5ba0-bbc0-445b-9211-157b186b3613"/>
    <x v="1"/>
    <x v="1"/>
    <d v="2025-09-21T00:00:00"/>
    <d v="2025-09-27T00:00:00"/>
    <n v="0"/>
    <x v="1"/>
    <x v="2"/>
    <s v="NA"/>
    <s v="Qualified"/>
    <x v="3"/>
    <s v="Pending Follow-up"/>
    <s v="Google Ads Campaign"/>
    <n v="48"/>
    <x v="1"/>
    <s v="OK"/>
    <s v="OK"/>
  </r>
  <r>
    <s v="289b1f8e-fd87-461d-824c-c755a34bc3e9"/>
    <x v="3"/>
    <x v="1"/>
    <d v="2025-03-13T00:00:00"/>
    <d v="2025-04-29T00:00:00"/>
    <n v="0"/>
    <x v="2"/>
    <x v="0"/>
    <s v="NA"/>
    <s v="Qualified"/>
    <x v="0"/>
    <s v="No Follow-up"/>
    <s v="Facebook Ads"/>
    <n v="73"/>
    <x v="1"/>
    <s v="OK"/>
    <s v="OK"/>
  </r>
  <r>
    <s v="3ec85b54-f67e-4a5e-805e-276c510bd348"/>
    <x v="0"/>
    <x v="2"/>
    <d v="2025-08-08T00:00:00"/>
    <d v="2025-08-08T00:00:00"/>
    <n v="0"/>
    <x v="2"/>
    <x v="0"/>
    <s v="NA"/>
    <s v="Unqualified"/>
    <x v="0"/>
    <s v="Contacted"/>
    <s v="Referral Program"/>
    <n v="53"/>
    <x v="1"/>
    <s v="OK"/>
    <s v="OK"/>
  </r>
  <r>
    <s v="44495be8-01a0-4f66-b50c-525a8e70bd51"/>
    <x v="0"/>
    <x v="2"/>
    <d v="2025-02-12T00:00:00"/>
    <d v="2025-02-12T00:00:00"/>
    <n v="0"/>
    <x v="1"/>
    <x v="0"/>
    <s v="NA"/>
    <s v="Qualified"/>
    <x v="2"/>
    <s v="No Follow-up"/>
    <s v="Referral Program"/>
    <n v="50"/>
    <x v="2"/>
    <s v="OK"/>
    <s v="OK"/>
  </r>
  <r>
    <s v="73247b6d-52b4-4637-b95b-6a14eb388943"/>
    <x v="3"/>
    <x v="0"/>
    <d v="2025-05-21T00:00:00"/>
    <d v="2025-09-25T00:00:00"/>
    <n v="4347"/>
    <x v="2"/>
    <x v="0"/>
    <d v="2025-06-08T00:00:00"/>
    <s v="Qualified"/>
    <x v="1"/>
    <s v="Completed"/>
    <s v="Google Ads Campaign"/>
    <n v="68"/>
    <x v="2"/>
    <s v="OK"/>
    <s v="OK"/>
  </r>
  <r>
    <s v="beec5c1c-ef85-4ba2-a3b7-9d3ae692c55d"/>
    <x v="2"/>
    <x v="2"/>
    <d v="2025-08-16T00:00:00"/>
    <d v="2025-08-16T00:00:00"/>
    <n v="0"/>
    <x v="3"/>
    <x v="0"/>
    <s v="NA"/>
    <s v="Qualified"/>
    <x v="2"/>
    <s v="No Follow-up"/>
    <s v="Organic Search"/>
    <n v="63"/>
    <x v="1"/>
    <s v="OK"/>
    <s v="OK"/>
  </r>
  <r>
    <s v="c24a134b-49cd-4ca3-b260-e31864b5c6f8"/>
    <x v="3"/>
    <x v="1"/>
    <d v="2025-07-26T00:00:00"/>
    <d v="2025-06-19T00:00:00"/>
    <n v="0"/>
    <x v="1"/>
    <x v="0"/>
    <s v="NA"/>
    <s v="Unqualified"/>
    <x v="2"/>
    <s v="Follow-up Scheduled"/>
    <s v="Facebook Ads"/>
    <n v="35"/>
    <x v="0"/>
    <s v="ERROR"/>
    <s v="OK"/>
  </r>
  <r>
    <s v="8c279586-e225-4087-83b6-27f2d5f021bb"/>
    <x v="2"/>
    <x v="2"/>
    <d v="2025-07-08T00:00:00"/>
    <d v="2025-07-08T00:00:00"/>
    <n v="0"/>
    <x v="0"/>
    <x v="0"/>
    <s v="NA"/>
    <s v="Qualified"/>
    <x v="1"/>
    <s v="Follow-up Scheduled"/>
    <s v="Referral Program"/>
    <n v="69"/>
    <x v="2"/>
    <s v="OK"/>
    <s v="OK"/>
  </r>
  <r>
    <s v="842f8167-28e6-47da-a2a7-813249a92f9c"/>
    <x v="1"/>
    <x v="0"/>
    <d v="2025-08-10T00:00:00"/>
    <d v="2025-08-18T00:00:00"/>
    <n v="3973"/>
    <x v="0"/>
    <x v="0"/>
    <d v="2025-06-25T00:00:00"/>
    <s v="Qualified"/>
    <x v="3"/>
    <s v="Completed"/>
    <s v="Google Ads Campaign"/>
    <n v="62"/>
    <x v="2"/>
    <s v="OK"/>
    <s v="ERROR"/>
  </r>
  <r>
    <s v="05510218-6592-493a-8ee0-e435696cd603"/>
    <x v="3"/>
    <x v="2"/>
    <d v="2025-01-06T00:00:00"/>
    <d v="2025-01-06T00:00:00"/>
    <n v="0"/>
    <x v="0"/>
    <x v="2"/>
    <s v="NA"/>
    <s v="Unqualified"/>
    <x v="2"/>
    <s v="No Follow-up"/>
    <s v="Google Ads Campaign"/>
    <n v="42"/>
    <x v="2"/>
    <s v="OK"/>
    <s v="OK"/>
  </r>
  <r>
    <s v="7f0153e5-3d1b-4c29-a3a2-8fcbdbea8854"/>
    <x v="2"/>
    <x v="0"/>
    <d v="2025-01-13T00:00:00"/>
    <d v="2025-06-18T00:00:00"/>
    <n v="4995"/>
    <x v="1"/>
    <x v="0"/>
    <d v="2025-05-02T00:00:00"/>
    <s v="Qualified"/>
    <x v="1"/>
    <s v="Contacted"/>
    <s v="Referral Program"/>
    <n v="34"/>
    <x v="0"/>
    <s v="OK"/>
    <s v="OK"/>
  </r>
  <r>
    <s v="7d1ccaa8-021d-4ee4-92f0-ce7b8e902363"/>
    <x v="3"/>
    <x v="2"/>
    <d v="2025-09-05T00:00:00"/>
    <d v="2025-09-05T00:00:00"/>
    <n v="0"/>
    <x v="0"/>
    <x v="3"/>
    <s v="NA"/>
    <s v="Qualified"/>
    <x v="3"/>
    <s v="Contacted"/>
    <s v="Facebook Ads"/>
    <n v="66"/>
    <x v="2"/>
    <s v="OK"/>
    <s v="OK"/>
  </r>
  <r>
    <s v="93bb3aa7-a44a-4b5a-94c5-c70d48732569"/>
    <x v="0"/>
    <x v="2"/>
    <d v="2025-04-07T00:00:00"/>
    <d v="2025-04-07T00:00:00"/>
    <n v="0"/>
    <x v="0"/>
    <x v="1"/>
    <s v="NA"/>
    <s v="Qualified"/>
    <x v="2"/>
    <s v="Follow-up Scheduled"/>
    <s v="Google Ads Campaign"/>
    <n v="58"/>
    <x v="0"/>
    <s v="OK"/>
    <s v="OK"/>
  </r>
  <r>
    <s v="5eda1f67-a344-4647-a021-70cb5ac653e7"/>
    <x v="0"/>
    <x v="1"/>
    <d v="2025-01-15T00:00:00"/>
    <d v="2025-05-11T00:00:00"/>
    <n v="0"/>
    <x v="0"/>
    <x v="1"/>
    <s v="NA"/>
    <s v="Unqualified"/>
    <x v="1"/>
    <s v="No Follow-up"/>
    <s v="Organic Search"/>
    <n v="75"/>
    <x v="0"/>
    <s v="OK"/>
    <s v="OK"/>
  </r>
  <r>
    <s v="93a1aa7d-838e-4954-8ea3-419ab0b3a831"/>
    <x v="3"/>
    <x v="2"/>
    <d v="2025-04-08T00:00:00"/>
    <d v="2025-04-08T00:00:00"/>
    <n v="0"/>
    <x v="2"/>
    <x v="0"/>
    <s v="NA"/>
    <s v="Qualified"/>
    <x v="0"/>
    <s v="No Follow-up"/>
    <s v="Referral Program"/>
    <n v="59"/>
    <x v="0"/>
    <s v="OK"/>
    <s v="OK"/>
  </r>
  <r>
    <s v="c69465ea-094a-4aed-b0dc-d813baae9fe2"/>
    <x v="2"/>
    <x v="0"/>
    <d v="2025-06-19T00:00:00"/>
    <d v="2025-07-21T00:00:00"/>
    <n v="2799"/>
    <x v="2"/>
    <x v="1"/>
    <d v="2025-04-01T00:00:00"/>
    <s v="Qualified"/>
    <x v="1"/>
    <s v="No Follow-up"/>
    <s v="Facebook Ads"/>
    <n v="52"/>
    <x v="1"/>
    <s v="OK"/>
    <s v="ERROR"/>
  </r>
  <r>
    <s v="b882fcbd-dac6-4106-a114-bf438bdbf097"/>
    <x v="3"/>
    <x v="1"/>
    <d v="2025-05-01T00:00:00"/>
    <d v="2025-04-23T00:00:00"/>
    <n v="0"/>
    <x v="0"/>
    <x v="1"/>
    <s v="NA"/>
    <s v="Unqualified"/>
    <x v="2"/>
    <s v="No Follow-up"/>
    <s v="Referral Program"/>
    <n v="63"/>
    <x v="1"/>
    <s v="ERROR"/>
    <s v="OK"/>
  </r>
  <r>
    <s v="eb394cd6-6f25-4a29-aa69-c90301e758cb"/>
    <x v="2"/>
    <x v="2"/>
    <d v="2025-01-13T00:00:00"/>
    <d v="2025-01-13T00:00:00"/>
    <n v="0"/>
    <x v="1"/>
    <x v="0"/>
    <s v="NA"/>
    <s v="Qualified"/>
    <x v="3"/>
    <s v="Pending Follow-up"/>
    <s v="Organic Search"/>
    <n v="38"/>
    <x v="1"/>
    <s v="OK"/>
    <s v="OK"/>
  </r>
  <r>
    <s v="43de83d5-3315-4505-9326-4ae53a3ca223"/>
    <x v="0"/>
    <x v="2"/>
    <d v="2025-04-25T00:00:00"/>
    <d v="2025-04-25T00:00:00"/>
    <n v="0"/>
    <x v="2"/>
    <x v="2"/>
    <s v="NA"/>
    <s v="Unqualified"/>
    <x v="3"/>
    <s v="Contacted"/>
    <s v="Facebook Ads"/>
    <n v="92"/>
    <x v="1"/>
    <s v="OK"/>
    <s v="OK"/>
  </r>
  <r>
    <s v="00eef458-7686-4a5d-8e14-415cfad36eea"/>
    <x v="3"/>
    <x v="0"/>
    <d v="2025-05-20T00:00:00"/>
    <d v="2025-01-30T00:00:00"/>
    <n v="2914"/>
    <x v="1"/>
    <x v="0"/>
    <d v="2025-05-30T00:00:00"/>
    <s v="Qualified"/>
    <x v="1"/>
    <s v="Completed"/>
    <s v="Referral Program"/>
    <n v="75"/>
    <x v="2"/>
    <s v="ERROR"/>
    <s v="OK"/>
  </r>
  <r>
    <s v="a1253296-b408-4b55-a62e-55b8cf577399"/>
    <x v="1"/>
    <x v="0"/>
    <d v="2025-02-27T00:00:00"/>
    <d v="2025-08-19T00:00:00"/>
    <n v="4366"/>
    <x v="1"/>
    <x v="2"/>
    <d v="2025-08-05T00:00:00"/>
    <s v="Unqualified"/>
    <x v="1"/>
    <s v="No Follow-up"/>
    <s v="Organic Search"/>
    <n v="92"/>
    <x v="2"/>
    <s v="OK"/>
    <s v="OK"/>
  </r>
  <r>
    <s v="23318e22-76c3-4e5f-9cff-6d454bc5c4f4"/>
    <x v="2"/>
    <x v="1"/>
    <d v="2025-04-20T00:00:00"/>
    <d v="2025-06-06T00:00:00"/>
    <n v="0"/>
    <x v="1"/>
    <x v="1"/>
    <s v="NA"/>
    <s v="Qualified"/>
    <x v="2"/>
    <s v="Pending Follow-up"/>
    <s v="Organic Search"/>
    <n v="82"/>
    <x v="0"/>
    <s v="OK"/>
    <s v="OK"/>
  </r>
  <r>
    <s v="3b9c16ed-c757-497f-b8cb-c45879052610"/>
    <x v="2"/>
    <x v="2"/>
    <d v="2025-03-27T00:00:00"/>
    <d v="2025-03-27T00:00:00"/>
    <n v="0"/>
    <x v="1"/>
    <x v="0"/>
    <s v="NA"/>
    <s v="Unqualified"/>
    <x v="0"/>
    <s v="No Follow-up"/>
    <s v="Referral Program"/>
    <n v="57"/>
    <x v="0"/>
    <s v="OK"/>
    <s v="OK"/>
  </r>
  <r>
    <s v="e86eb246-4145-41da-9ac4-8995b3455372"/>
    <x v="1"/>
    <x v="2"/>
    <d v="2025-03-12T00:00:00"/>
    <d v="2025-03-12T00:00:00"/>
    <n v="0"/>
    <x v="2"/>
    <x v="2"/>
    <s v="NA"/>
    <s v="Unqualified"/>
    <x v="0"/>
    <s v="Follow-up Scheduled"/>
    <s v="Google Ads Campaign"/>
    <n v="58"/>
    <x v="0"/>
    <s v="OK"/>
    <s v="OK"/>
  </r>
  <r>
    <s v="af08f166-1aeb-42da-b95a-a8a3cdf252d8"/>
    <x v="3"/>
    <x v="0"/>
    <d v="2025-04-26T00:00:00"/>
    <d v="2025-04-24T00:00:00"/>
    <n v="4593"/>
    <x v="2"/>
    <x v="1"/>
    <d v="2025-03-13T00:00:00"/>
    <s v="Qualified"/>
    <x v="2"/>
    <s v="Completed"/>
    <s v="Google Ads Campaign"/>
    <n v="73"/>
    <x v="0"/>
    <s v="ERROR"/>
    <s v="ERROR"/>
  </r>
  <r>
    <s v="80bf216e-3ba9-4668-b9d9-46b5107e5c3d"/>
    <x v="3"/>
    <x v="1"/>
    <d v="2025-03-30T00:00:00"/>
    <d v="2025-08-17T00:00:00"/>
    <n v="0"/>
    <x v="0"/>
    <x v="0"/>
    <s v="NA"/>
    <s v="Qualified"/>
    <x v="3"/>
    <s v="No Follow-up"/>
    <s v="Organic Search"/>
    <n v="95"/>
    <x v="0"/>
    <s v="OK"/>
    <s v="OK"/>
  </r>
  <r>
    <s v="38dbd019-a08c-444c-926a-a93fab528fd3"/>
    <x v="2"/>
    <x v="2"/>
    <d v="2025-01-21T00:00:00"/>
    <d v="2025-01-21T00:00:00"/>
    <n v="0"/>
    <x v="3"/>
    <x v="2"/>
    <s v="NA"/>
    <s v="Unqualified"/>
    <x v="0"/>
    <s v="Pending Follow-up"/>
    <s v="Facebook Ads"/>
    <n v="53"/>
    <x v="1"/>
    <s v="OK"/>
    <s v="OK"/>
  </r>
  <r>
    <s v="674d2840-b910-4b76-a7be-5680c5e1c45c"/>
    <x v="3"/>
    <x v="0"/>
    <d v="2025-02-10T00:00:00"/>
    <d v="2025-01-31T00:00:00"/>
    <n v="2763"/>
    <x v="1"/>
    <x v="0"/>
    <d v="2025-06-09T00:00:00"/>
    <s v="Qualified"/>
    <x v="3"/>
    <s v="Contacted"/>
    <s v="Referral Program"/>
    <n v="37"/>
    <x v="2"/>
    <s v="ERROR"/>
    <s v="OK"/>
  </r>
  <r>
    <s v="e67e2a1d-57c2-4ef3-9507-c2be97a2f47f"/>
    <x v="1"/>
    <x v="1"/>
    <d v="2025-08-26T00:00:00"/>
    <d v="2025-09-18T00:00:00"/>
    <n v="0"/>
    <x v="0"/>
    <x v="1"/>
    <s v="NA"/>
    <s v="Qualified"/>
    <x v="3"/>
    <s v="Pending Follow-up"/>
    <s v="Google Ads Campaign"/>
    <n v="60"/>
    <x v="1"/>
    <s v="OK"/>
    <s v="OK"/>
  </r>
  <r>
    <s v="ea6ab914-70df-4a0e-90dc-2fcc79602da5"/>
    <x v="2"/>
    <x v="0"/>
    <d v="2025-04-11T00:00:00"/>
    <d v="2025-01-08T00:00:00"/>
    <n v="2220"/>
    <x v="2"/>
    <x v="3"/>
    <d v="2025-05-29T00:00:00"/>
    <s v="Unqualified"/>
    <x v="1"/>
    <s v="No Follow-up"/>
    <s v="Facebook Ads"/>
    <n v="45"/>
    <x v="0"/>
    <s v="ERROR"/>
    <s v="OK"/>
  </r>
  <r>
    <s v="39889909-f24d-495d-8280-4b96f03e582f"/>
    <x v="0"/>
    <x v="1"/>
    <d v="2025-08-10T00:00:00"/>
    <d v="2025-08-04T00:00:00"/>
    <n v="0"/>
    <x v="2"/>
    <x v="2"/>
    <s v="NA"/>
    <s v="Unqualified"/>
    <x v="0"/>
    <s v="Pending Follow-up"/>
    <s v="Facebook Ads"/>
    <n v="95"/>
    <x v="1"/>
    <s v="ERROR"/>
    <s v="OK"/>
  </r>
  <r>
    <s v="88fa21a1-5b4c-4331-8669-a71419c593c8"/>
    <x v="2"/>
    <x v="2"/>
    <d v="2025-02-10T00:00:00"/>
    <d v="2025-02-10T00:00:00"/>
    <n v="0"/>
    <x v="1"/>
    <x v="2"/>
    <s v="NA"/>
    <s v="Unqualified"/>
    <x v="1"/>
    <s v="Follow-up Scheduled"/>
    <s v="Google Ads Campaign"/>
    <n v="48"/>
    <x v="1"/>
    <s v="OK"/>
    <s v="OK"/>
  </r>
  <r>
    <s v="ab5166a6-ea7d-4473-89df-46ffec1ecaaa"/>
    <x v="2"/>
    <x v="1"/>
    <d v="2025-05-22T00:00:00"/>
    <d v="2025-06-30T00:00:00"/>
    <n v="0"/>
    <x v="2"/>
    <x v="3"/>
    <s v="NA"/>
    <s v="Qualified"/>
    <x v="1"/>
    <s v="Pending Follow-up"/>
    <s v="Organic Search"/>
    <n v="50"/>
    <x v="2"/>
    <s v="OK"/>
    <s v="OK"/>
  </r>
  <r>
    <s v="e04e15ed-9ac9-4178-b2e6-202122a3b49a"/>
    <x v="3"/>
    <x v="0"/>
    <d v="2025-03-17T00:00:00"/>
    <d v="2025-07-03T00:00:00"/>
    <n v="2740"/>
    <x v="0"/>
    <x v="3"/>
    <d v="2025-04-01T00:00:00"/>
    <s v="Unqualified"/>
    <x v="0"/>
    <s v="No Follow-up"/>
    <s v="Google Ads Campaign"/>
    <n v="85"/>
    <x v="1"/>
    <s v="OK"/>
    <s v="OK"/>
  </r>
  <r>
    <s v="b82ff6c3-b0e1-458f-a5dd-a4b0351f1eb7"/>
    <x v="1"/>
    <x v="2"/>
    <d v="2025-03-19T00:00:00"/>
    <d v="2025-03-19T00:00:00"/>
    <n v="0"/>
    <x v="1"/>
    <x v="1"/>
    <s v="NA"/>
    <s v="Unqualified"/>
    <x v="1"/>
    <s v="No Follow-up"/>
    <s v="Google Ads Campaign"/>
    <n v="83"/>
    <x v="1"/>
    <s v="OK"/>
    <s v="OK"/>
  </r>
  <r>
    <s v="2b055a7a-40b6-454a-a29b-1d923c4563ae"/>
    <x v="0"/>
    <x v="2"/>
    <d v="2025-08-25T00:00:00"/>
    <d v="2025-08-25T00:00:00"/>
    <n v="0"/>
    <x v="1"/>
    <x v="3"/>
    <s v="NA"/>
    <s v="Unqualified"/>
    <x v="1"/>
    <s v="Pending Follow-up"/>
    <s v="Organic Search"/>
    <n v="65"/>
    <x v="2"/>
    <s v="OK"/>
    <s v="OK"/>
  </r>
  <r>
    <s v="e1470b4d-b2d9-4a5e-933e-9f18fa3dca30"/>
    <x v="2"/>
    <x v="1"/>
    <d v="2025-09-29T00:00:00"/>
    <d v="2025-06-09T00:00:00"/>
    <n v="0"/>
    <x v="3"/>
    <x v="3"/>
    <s v="NA"/>
    <s v="Qualified"/>
    <x v="0"/>
    <s v="Pending Follow-up"/>
    <s v="Organic Search"/>
    <n v="55"/>
    <x v="1"/>
    <s v="ERROR"/>
    <s v="OK"/>
  </r>
  <r>
    <s v="7574ed70-26f8-41f6-8adb-416ebfe45fbb"/>
    <x v="0"/>
    <x v="2"/>
    <d v="2025-10-06T00:00:00"/>
    <d v="2025-10-06T00:00:00"/>
    <n v="0"/>
    <x v="0"/>
    <x v="3"/>
    <s v="NA"/>
    <s v="Qualified"/>
    <x v="1"/>
    <s v="Follow-up Scheduled"/>
    <s v="Organic Search"/>
    <n v="69"/>
    <x v="0"/>
    <s v="OK"/>
    <s v="OK"/>
  </r>
  <r>
    <s v="0f05d1ae-eb15-43cb-8e23-72b4cbb548c1"/>
    <x v="2"/>
    <x v="2"/>
    <d v="2025-09-30T00:00:00"/>
    <d v="2025-09-30T00:00:00"/>
    <n v="0"/>
    <x v="0"/>
    <x v="0"/>
    <s v="NA"/>
    <s v="Qualified"/>
    <x v="0"/>
    <s v="Follow-up Scheduled"/>
    <s v="Facebook Ads"/>
    <n v="90"/>
    <x v="0"/>
    <s v="OK"/>
    <s v="OK"/>
  </r>
  <r>
    <s v="4e5ccec3-d8e7-45fb-96da-4ee989247cc1"/>
    <x v="3"/>
    <x v="2"/>
    <d v="2025-04-08T00:00:00"/>
    <d v="2025-04-08T00:00:00"/>
    <n v="0"/>
    <x v="2"/>
    <x v="3"/>
    <s v="NA"/>
    <s v="Qualified"/>
    <x v="2"/>
    <s v="Pending Follow-up"/>
    <s v="Google Ads Campaign"/>
    <n v="59"/>
    <x v="2"/>
    <s v="OK"/>
    <s v="OK"/>
  </r>
  <r>
    <s v="5a16a700-0255-40c2-b429-6ca431a7b571"/>
    <x v="2"/>
    <x v="0"/>
    <d v="2025-02-12T00:00:00"/>
    <d v="2025-02-26T00:00:00"/>
    <n v="2031"/>
    <x v="0"/>
    <x v="1"/>
    <d v="2025-03-22T00:00:00"/>
    <s v="Unqualified"/>
    <x v="3"/>
    <s v="Completed"/>
    <s v="Google Ads Campaign"/>
    <n v="95"/>
    <x v="0"/>
    <s v="OK"/>
    <s v="OK"/>
  </r>
  <r>
    <s v="1a62f410-0b4a-4607-9ae7-3d99ba44f3f7"/>
    <x v="2"/>
    <x v="2"/>
    <d v="2025-08-28T00:00:00"/>
    <d v="2025-08-28T00:00:00"/>
    <n v="0"/>
    <x v="0"/>
    <x v="0"/>
    <s v="NA"/>
    <s v="Qualified"/>
    <x v="3"/>
    <s v="Contacted"/>
    <s v="Facebook Ads"/>
    <n v="93"/>
    <x v="2"/>
    <s v="OK"/>
    <s v="OK"/>
  </r>
  <r>
    <s v="50ef4bca-563f-4bfe-8590-b83532eb8175"/>
    <x v="2"/>
    <x v="0"/>
    <d v="2025-09-01T00:00:00"/>
    <d v="2025-08-16T00:00:00"/>
    <n v="4447"/>
    <x v="3"/>
    <x v="2"/>
    <d v="2025-07-25T00:00:00"/>
    <s v="Qualified"/>
    <x v="0"/>
    <s v="Completed"/>
    <s v="Referral Program"/>
    <n v="90"/>
    <x v="2"/>
    <s v="ERROR"/>
    <s v="ERROR"/>
  </r>
  <r>
    <s v="b34043e3-b04d-410e-9ae7-418afb76d2f3"/>
    <x v="2"/>
    <x v="1"/>
    <d v="2025-09-30T00:00:00"/>
    <d v="2025-05-05T00:00:00"/>
    <n v="0"/>
    <x v="1"/>
    <x v="0"/>
    <s v="NA"/>
    <s v="Unqualified"/>
    <x v="2"/>
    <s v="No Follow-up"/>
    <s v="Referral Program"/>
    <n v="89"/>
    <x v="1"/>
    <s v="ERROR"/>
    <s v="OK"/>
  </r>
  <r>
    <s v="9a36e236-f336-4528-88d5-4ef9ba432a98"/>
    <x v="1"/>
    <x v="0"/>
    <d v="2025-10-03T00:00:00"/>
    <d v="2025-04-09T00:00:00"/>
    <n v="3284"/>
    <x v="2"/>
    <x v="3"/>
    <d v="2025-04-03T00:00:00"/>
    <s v="Unqualified"/>
    <x v="1"/>
    <s v="Completed"/>
    <s v="Organic Search"/>
    <n v="42"/>
    <x v="0"/>
    <s v="ERROR"/>
    <s v="ERROR"/>
  </r>
  <r>
    <s v="f8abbfdd-0d8d-4d5a-9183-31531d445cfe"/>
    <x v="0"/>
    <x v="1"/>
    <d v="2025-07-11T00:00:00"/>
    <d v="2025-05-25T00:00:00"/>
    <n v="0"/>
    <x v="0"/>
    <x v="1"/>
    <s v="NA"/>
    <s v="Unqualified"/>
    <x v="2"/>
    <s v="Pending Follow-up"/>
    <s v="Google Ads Campaign"/>
    <n v="72"/>
    <x v="0"/>
    <s v="ERROR"/>
    <s v="OK"/>
  </r>
  <r>
    <s v="ea8e9d9e-8b26-4e85-a229-908c977c9abb"/>
    <x v="2"/>
    <x v="0"/>
    <d v="2025-05-06T00:00:00"/>
    <d v="2025-07-13T00:00:00"/>
    <n v="2219"/>
    <x v="2"/>
    <x v="2"/>
    <d v="2025-03-21T00:00:00"/>
    <s v="Qualified"/>
    <x v="0"/>
    <s v="Completed"/>
    <s v="Facebook Ads"/>
    <n v="86"/>
    <x v="0"/>
    <s v="OK"/>
    <s v="ERROR"/>
  </r>
  <r>
    <s v="3183b411-97aa-4fdb-9a49-7b0c3fc855e7"/>
    <x v="3"/>
    <x v="0"/>
    <d v="2025-04-11T00:00:00"/>
    <d v="2025-08-16T00:00:00"/>
    <n v="2929"/>
    <x v="0"/>
    <x v="0"/>
    <d v="2025-03-25T00:00:00"/>
    <s v="Unqualified"/>
    <x v="2"/>
    <s v="No Follow-up"/>
    <s v="Google Ads Campaign"/>
    <n v="32"/>
    <x v="2"/>
    <s v="OK"/>
    <s v="ERROR"/>
  </r>
  <r>
    <s v="d3d55b62-1433-4ca2-b800-62b9d6d03ffd"/>
    <x v="0"/>
    <x v="0"/>
    <d v="2025-02-06T00:00:00"/>
    <d v="2025-02-07T00:00:00"/>
    <n v="4048"/>
    <x v="2"/>
    <x v="3"/>
    <d v="2025-01-01T00:00:00"/>
    <s v="Qualified"/>
    <x v="3"/>
    <s v="Contacted"/>
    <s v="Organic Search"/>
    <n v="49"/>
    <x v="0"/>
    <s v="OK"/>
    <s v="ERROR"/>
  </r>
  <r>
    <s v="d45769c8-e53d-481f-8992-7b727952e224"/>
    <x v="2"/>
    <x v="0"/>
    <d v="2025-10-16T00:00:00"/>
    <d v="2025-10-07T00:00:00"/>
    <n v="4221"/>
    <x v="0"/>
    <x v="1"/>
    <d v="2025-01-30T00:00:00"/>
    <s v="Unqualified"/>
    <x v="2"/>
    <s v="Completed"/>
    <s v="Facebook Ads"/>
    <n v="33"/>
    <x v="0"/>
    <s v="ERROR"/>
    <s v="ERROR"/>
  </r>
  <r>
    <s v="c6137ac9-23b4-4a6f-8c58-7633cbcde7cb"/>
    <x v="0"/>
    <x v="1"/>
    <d v="2025-07-12T00:00:00"/>
    <d v="2025-06-22T00:00:00"/>
    <n v="0"/>
    <x v="2"/>
    <x v="3"/>
    <s v="NA"/>
    <s v="Qualified"/>
    <x v="2"/>
    <s v="Pending Follow-up"/>
    <s v="Organic Search"/>
    <n v="72"/>
    <x v="0"/>
    <s v="ERROR"/>
    <s v="OK"/>
  </r>
  <r>
    <s v="0df1a3f8-baa3-4203-aa68-2a7dbf9a9734"/>
    <x v="3"/>
    <x v="2"/>
    <d v="2025-04-08T00:00:00"/>
    <d v="2025-04-08T00:00:00"/>
    <n v="0"/>
    <x v="0"/>
    <x v="0"/>
    <s v="NA"/>
    <s v="Qualified"/>
    <x v="1"/>
    <s v="No Follow-up"/>
    <s v="Facebook Ads"/>
    <n v="81"/>
    <x v="1"/>
    <s v="OK"/>
    <s v="OK"/>
  </r>
  <r>
    <s v="0c671df2-a836-4fe4-891b-8ba4c67c9285"/>
    <x v="1"/>
    <x v="1"/>
    <d v="2025-08-23T00:00:00"/>
    <d v="2025-07-03T00:00:00"/>
    <n v="0"/>
    <x v="3"/>
    <x v="1"/>
    <s v="NA"/>
    <s v="Qualified"/>
    <x v="3"/>
    <s v="Contacted"/>
    <s v="Facebook Ads"/>
    <n v="83"/>
    <x v="0"/>
    <s v="ERROR"/>
    <s v="OK"/>
  </r>
  <r>
    <s v="ba7ab0bf-97e4-4e4e-b685-745c32388728"/>
    <x v="0"/>
    <x v="0"/>
    <d v="2025-02-27T00:00:00"/>
    <d v="2025-06-14T00:00:00"/>
    <n v="3713"/>
    <x v="3"/>
    <x v="2"/>
    <d v="2025-10-14T00:00:00"/>
    <s v="Qualified"/>
    <x v="1"/>
    <s v="Completed"/>
    <s v="Google Ads Campaign"/>
    <n v="86"/>
    <x v="2"/>
    <s v="OK"/>
    <s v="OK"/>
  </r>
  <r>
    <s v="2cf0601d-2a63-4fec-af79-1b5832db68d1"/>
    <x v="3"/>
    <x v="1"/>
    <d v="2025-04-13T00:00:00"/>
    <d v="2025-02-20T00:00:00"/>
    <n v="0"/>
    <x v="2"/>
    <x v="0"/>
    <s v="NA"/>
    <s v="Qualified"/>
    <x v="3"/>
    <s v="Contacted"/>
    <s v="Referral Program"/>
    <n v="91"/>
    <x v="2"/>
    <s v="ERROR"/>
    <s v="OK"/>
  </r>
  <r>
    <s v="44a3acbc-9186-4835-8a84-ecf73f63aa69"/>
    <x v="0"/>
    <x v="1"/>
    <d v="2025-01-22T00:00:00"/>
    <d v="2025-03-26T00:00:00"/>
    <n v="0"/>
    <x v="0"/>
    <x v="0"/>
    <s v="NA"/>
    <s v="Qualified"/>
    <x v="3"/>
    <s v="Follow-up Scheduled"/>
    <s v="Facebook Ads"/>
    <n v="35"/>
    <x v="1"/>
    <s v="OK"/>
    <s v="OK"/>
  </r>
  <r>
    <s v="c3ddc407-f8ae-4342-8fde-aab9dd75846c"/>
    <x v="1"/>
    <x v="0"/>
    <d v="2025-04-19T00:00:00"/>
    <d v="2025-03-25T00:00:00"/>
    <n v="3791"/>
    <x v="1"/>
    <x v="2"/>
    <d v="2025-08-16T00:00:00"/>
    <s v="Unqualified"/>
    <x v="2"/>
    <s v="No Follow-up"/>
    <s v="Organic Search"/>
    <n v="62"/>
    <x v="0"/>
    <s v="ERROR"/>
    <s v="OK"/>
  </r>
  <r>
    <s v="d740d44b-43c7-4078-b50f-2ac7c8844d90"/>
    <x v="1"/>
    <x v="0"/>
    <d v="2025-01-19T00:00:00"/>
    <d v="2025-01-02T00:00:00"/>
    <n v="3753"/>
    <x v="0"/>
    <x v="3"/>
    <d v="2025-07-30T00:00:00"/>
    <s v="Qualified"/>
    <x v="3"/>
    <s v="Completed"/>
    <s v="Referral Program"/>
    <n v="50"/>
    <x v="0"/>
    <s v="ERROR"/>
    <s v="OK"/>
  </r>
  <r>
    <s v="138ce4cb-cbb8-4fe7-8b97-b97edefffdc3"/>
    <x v="0"/>
    <x v="1"/>
    <d v="2025-04-16T00:00:00"/>
    <d v="2025-06-18T00:00:00"/>
    <n v="0"/>
    <x v="0"/>
    <x v="3"/>
    <s v="NA"/>
    <s v="Qualified"/>
    <x v="3"/>
    <s v="No Follow-up"/>
    <s v="Organic Search"/>
    <n v="56"/>
    <x v="1"/>
    <s v="OK"/>
    <s v="OK"/>
  </r>
  <r>
    <s v="e7210748-8f90-45a4-b9a4-1aa621a6ee4f"/>
    <x v="1"/>
    <x v="0"/>
    <d v="2025-04-13T00:00:00"/>
    <d v="2025-05-15T00:00:00"/>
    <n v="2330"/>
    <x v="0"/>
    <x v="0"/>
    <d v="2025-07-03T00:00:00"/>
    <s v="Unqualified"/>
    <x v="0"/>
    <s v="Completed"/>
    <s v="Organic Search"/>
    <n v="39"/>
    <x v="0"/>
    <s v="OK"/>
    <s v="OK"/>
  </r>
  <r>
    <s v="cbfd1b97-6303-431b-a983-fd0c078e45d4"/>
    <x v="3"/>
    <x v="0"/>
    <d v="2025-03-03T00:00:00"/>
    <d v="2025-05-30T00:00:00"/>
    <n v="4920"/>
    <x v="0"/>
    <x v="1"/>
    <d v="2025-02-19T00:00:00"/>
    <s v="Qualified"/>
    <x v="0"/>
    <s v="Completed"/>
    <s v="Google Ads Campaign"/>
    <n v="92"/>
    <x v="2"/>
    <s v="OK"/>
    <s v="ERROR"/>
  </r>
  <r>
    <s v="fe9d27c5-5ce2-4755-8a89-ddbfebc8a6d6"/>
    <x v="2"/>
    <x v="1"/>
    <d v="2025-03-14T00:00:00"/>
    <d v="2025-09-06T00:00:00"/>
    <n v="0"/>
    <x v="3"/>
    <x v="2"/>
    <s v="NA"/>
    <s v="Unqualified"/>
    <x v="1"/>
    <s v="Follow-up Scheduled"/>
    <s v="Organic Search"/>
    <n v="88"/>
    <x v="2"/>
    <s v="OK"/>
    <s v="OK"/>
  </r>
  <r>
    <s v="39e743a2-d3ce-470c-95ca-d79e4df7c340"/>
    <x v="0"/>
    <x v="2"/>
    <d v="2025-01-09T00:00:00"/>
    <d v="2025-01-09T00:00:00"/>
    <n v="0"/>
    <x v="2"/>
    <x v="3"/>
    <s v="NA"/>
    <s v="Qualified"/>
    <x v="2"/>
    <s v="Follow-up Scheduled"/>
    <s v="Google Ads Campaign"/>
    <n v="86"/>
    <x v="0"/>
    <s v="OK"/>
    <s v="OK"/>
  </r>
  <r>
    <s v="f414a32d-ea9a-412e-9bcf-9a265d2abf4f"/>
    <x v="3"/>
    <x v="2"/>
    <d v="2025-07-14T00:00:00"/>
    <d v="2025-07-14T00:00:00"/>
    <n v="0"/>
    <x v="1"/>
    <x v="3"/>
    <s v="NA"/>
    <s v="Qualified"/>
    <x v="0"/>
    <s v="Contacted"/>
    <s v="Google Ads Campaign"/>
    <n v="50"/>
    <x v="0"/>
    <s v="OK"/>
    <s v="OK"/>
  </r>
  <r>
    <s v="9edef337-caee-43dc-b839-20bd724fae58"/>
    <x v="2"/>
    <x v="0"/>
    <d v="2025-06-06T00:00:00"/>
    <d v="2025-10-12T00:00:00"/>
    <n v="3272"/>
    <x v="3"/>
    <x v="0"/>
    <d v="2025-04-03T00:00:00"/>
    <s v="Unqualified"/>
    <x v="1"/>
    <s v="Completed"/>
    <s v="Facebook Ads"/>
    <n v="57"/>
    <x v="0"/>
    <s v="OK"/>
    <s v="ERROR"/>
  </r>
  <r>
    <s v="ff8bc6b3-644a-48fb-b6f1-bd8679b9e61f"/>
    <x v="1"/>
    <x v="0"/>
    <d v="2025-02-20T00:00:00"/>
    <d v="2025-02-13T00:00:00"/>
    <n v="3429"/>
    <x v="2"/>
    <x v="2"/>
    <d v="2025-06-15T00:00:00"/>
    <s v="Unqualified"/>
    <x v="0"/>
    <s v="Completed"/>
    <s v="Organic Search"/>
    <n v="50"/>
    <x v="0"/>
    <s v="ERROR"/>
    <s v="OK"/>
  </r>
  <r>
    <s v="1f43854c-51ad-461c-9672-e93928b6e217"/>
    <x v="2"/>
    <x v="2"/>
    <d v="2025-05-07T00:00:00"/>
    <d v="2025-05-07T00:00:00"/>
    <n v="0"/>
    <x v="1"/>
    <x v="3"/>
    <s v="NA"/>
    <s v="Qualified"/>
    <x v="3"/>
    <s v="Pending Follow-up"/>
    <s v="Facebook Ads"/>
    <n v="91"/>
    <x v="1"/>
    <s v="OK"/>
    <s v="OK"/>
  </r>
  <r>
    <s v="978ad17c-c211-403b-9838-3f3e3f0fffb7"/>
    <x v="1"/>
    <x v="1"/>
    <d v="2025-02-26T00:00:00"/>
    <d v="2025-09-30T00:00:00"/>
    <n v="0"/>
    <x v="3"/>
    <x v="0"/>
    <s v="NA"/>
    <s v="Unqualified"/>
    <x v="0"/>
    <s v="Pending Follow-up"/>
    <s v="Google Ads Campaign"/>
    <n v="37"/>
    <x v="2"/>
    <s v="OK"/>
    <s v="OK"/>
  </r>
  <r>
    <s v="28a60798-cf5f-4e6f-a937-e538ecde7d14"/>
    <x v="2"/>
    <x v="0"/>
    <d v="2025-06-20T00:00:00"/>
    <d v="2025-10-15T00:00:00"/>
    <n v="3022"/>
    <x v="0"/>
    <x v="3"/>
    <d v="2025-01-31T00:00:00"/>
    <s v="Unqualified"/>
    <x v="0"/>
    <s v="No Follow-up"/>
    <s v="Organic Search"/>
    <n v="70"/>
    <x v="0"/>
    <s v="OK"/>
    <s v="ERROR"/>
  </r>
  <r>
    <s v="f521cc52-052d-436a-b1d9-dab77c2e4b18"/>
    <x v="2"/>
    <x v="1"/>
    <d v="2025-07-07T00:00:00"/>
    <d v="2025-04-21T00:00:00"/>
    <n v="0"/>
    <x v="3"/>
    <x v="3"/>
    <s v="NA"/>
    <s v="Qualified"/>
    <x v="2"/>
    <s v="Pending Follow-up"/>
    <s v="Referral Program"/>
    <n v="94"/>
    <x v="1"/>
    <s v="ERROR"/>
    <s v="OK"/>
  </r>
  <r>
    <s v="0111b68d-6833-40f6-aa97-129aa8d0db5e"/>
    <x v="1"/>
    <x v="0"/>
    <d v="2025-08-15T00:00:00"/>
    <d v="2025-06-12T00:00:00"/>
    <n v="2603"/>
    <x v="3"/>
    <x v="1"/>
    <d v="2025-04-19T00:00:00"/>
    <s v="Qualified"/>
    <x v="3"/>
    <s v="No Follow-up"/>
    <s v="Organic Search"/>
    <n v="86"/>
    <x v="2"/>
    <s v="ERROR"/>
    <s v="ERROR"/>
  </r>
  <r>
    <s v="20e017b3-abbb-4ae7-a219-4a5ddf95aa36"/>
    <x v="3"/>
    <x v="1"/>
    <d v="2025-01-20T00:00:00"/>
    <d v="2025-04-27T00:00:00"/>
    <n v="0"/>
    <x v="0"/>
    <x v="1"/>
    <s v="NA"/>
    <s v="Unqualified"/>
    <x v="2"/>
    <s v="No Follow-up"/>
    <s v="Google Ads Campaign"/>
    <n v="89"/>
    <x v="0"/>
    <s v="OK"/>
    <s v="OK"/>
  </r>
  <r>
    <s v="4072c576-19b8-4e50-add3-dcc3ff0e7bed"/>
    <x v="2"/>
    <x v="2"/>
    <d v="2025-04-23T00:00:00"/>
    <d v="2025-04-23T00:00:00"/>
    <n v="0"/>
    <x v="0"/>
    <x v="2"/>
    <s v="NA"/>
    <s v="Qualified"/>
    <x v="3"/>
    <s v="Contacted"/>
    <s v="Facebook Ads"/>
    <n v="88"/>
    <x v="1"/>
    <s v="OK"/>
    <s v="OK"/>
  </r>
  <r>
    <s v="1f18b93f-dd3c-43e5-a675-833ba3745f1b"/>
    <x v="1"/>
    <x v="1"/>
    <d v="2025-05-19T00:00:00"/>
    <d v="2025-03-08T00:00:00"/>
    <n v="0"/>
    <x v="2"/>
    <x v="2"/>
    <s v="NA"/>
    <s v="Qualified"/>
    <x v="0"/>
    <s v="No Follow-up"/>
    <s v="Google Ads Campaign"/>
    <n v="74"/>
    <x v="1"/>
    <s v="ERROR"/>
    <s v="OK"/>
  </r>
  <r>
    <s v="4b5300b2-caca-43ff-9812-5ece7d96cb57"/>
    <x v="2"/>
    <x v="0"/>
    <d v="2025-03-15T00:00:00"/>
    <d v="2025-05-25T00:00:00"/>
    <n v="4712"/>
    <x v="3"/>
    <x v="0"/>
    <d v="2025-02-14T00:00:00"/>
    <s v="Unqualified"/>
    <x v="1"/>
    <s v="No Follow-up"/>
    <s v="Organic Search"/>
    <n v="85"/>
    <x v="0"/>
    <s v="OK"/>
    <s v="ERROR"/>
  </r>
  <r>
    <s v="1e1100a3-fd97-401e-9f0a-0de898b2c145"/>
    <x v="3"/>
    <x v="1"/>
    <d v="2025-02-10T00:00:00"/>
    <d v="2025-03-06T00:00:00"/>
    <n v="0"/>
    <x v="1"/>
    <x v="2"/>
    <s v="NA"/>
    <s v="Qualified"/>
    <x v="0"/>
    <s v="Pending Follow-up"/>
    <s v="Organic Search"/>
    <n v="84"/>
    <x v="2"/>
    <s v="OK"/>
    <s v="OK"/>
  </r>
  <r>
    <s v="dd1513e2-4fa9-4081-a947-434d3df8321d"/>
    <x v="0"/>
    <x v="0"/>
    <d v="2025-02-26T00:00:00"/>
    <d v="2025-02-01T00:00:00"/>
    <n v="2407"/>
    <x v="0"/>
    <x v="3"/>
    <d v="2025-06-03T00:00:00"/>
    <s v="Unqualified"/>
    <x v="1"/>
    <s v="Completed"/>
    <s v="Google Ads Campaign"/>
    <n v="93"/>
    <x v="2"/>
    <s v="ERROR"/>
    <s v="OK"/>
  </r>
  <r>
    <s v="d34826a1-0445-4b9b-81ea-a60250ec03da"/>
    <x v="3"/>
    <x v="2"/>
    <d v="2025-07-21T00:00:00"/>
    <d v="2025-07-21T00:00:00"/>
    <n v="0"/>
    <x v="0"/>
    <x v="3"/>
    <s v="NA"/>
    <s v="Unqualified"/>
    <x v="2"/>
    <s v="Follow-up Scheduled"/>
    <s v="Organic Search"/>
    <n v="30"/>
    <x v="1"/>
    <s v="OK"/>
    <s v="OK"/>
  </r>
  <r>
    <s v="b51327be-0e08-4f97-abde-50a0253e63f3"/>
    <x v="1"/>
    <x v="2"/>
    <d v="2025-06-15T00:00:00"/>
    <d v="2025-06-15T00:00:00"/>
    <n v="0"/>
    <x v="1"/>
    <x v="3"/>
    <s v="NA"/>
    <s v="Qualified"/>
    <x v="1"/>
    <s v="Pending Follow-up"/>
    <s v="Google Ads Campaign"/>
    <n v="70"/>
    <x v="0"/>
    <s v="OK"/>
    <s v="OK"/>
  </r>
  <r>
    <s v="cfc96cdc-815a-4138-a9e6-a282f51c797b"/>
    <x v="3"/>
    <x v="1"/>
    <d v="2025-03-04T00:00:00"/>
    <d v="2025-02-12T00:00:00"/>
    <n v="0"/>
    <x v="3"/>
    <x v="1"/>
    <s v="NA"/>
    <s v="Qualified"/>
    <x v="3"/>
    <s v="Contacted"/>
    <s v="Organic Search"/>
    <n v="57"/>
    <x v="2"/>
    <s v="ERROR"/>
    <s v="OK"/>
  </r>
  <r>
    <s v="0a693eb9-fa8d-4790-967f-e15b82619201"/>
    <x v="2"/>
    <x v="0"/>
    <d v="2025-01-27T00:00:00"/>
    <d v="2025-09-24T00:00:00"/>
    <n v="2349"/>
    <x v="0"/>
    <x v="0"/>
    <d v="2025-05-02T00:00:00"/>
    <s v="Unqualified"/>
    <x v="1"/>
    <s v="Completed"/>
    <s v="Organic Search"/>
    <n v="64"/>
    <x v="1"/>
    <s v="OK"/>
    <s v="OK"/>
  </r>
  <r>
    <s v="147b7d87-dbd3-4355-a42e-117ffdfbedbb"/>
    <x v="2"/>
    <x v="0"/>
    <d v="2025-02-13T00:00:00"/>
    <d v="2025-08-30T00:00:00"/>
    <n v="3432"/>
    <x v="2"/>
    <x v="2"/>
    <d v="2025-06-06T00:00:00"/>
    <s v="Unqualified"/>
    <x v="0"/>
    <s v="No Follow-up"/>
    <s v="Referral Program"/>
    <n v="67"/>
    <x v="0"/>
    <s v="OK"/>
    <s v="OK"/>
  </r>
  <r>
    <s v="0c379398-d6cb-43e2-a58e-6d5af05aa6f8"/>
    <x v="1"/>
    <x v="2"/>
    <d v="2025-05-15T00:00:00"/>
    <d v="2025-05-15T00:00:00"/>
    <n v="0"/>
    <x v="2"/>
    <x v="2"/>
    <s v="NA"/>
    <s v="Qualified"/>
    <x v="3"/>
    <s v="Pending Follow-up"/>
    <s v="Organic Search"/>
    <n v="31"/>
    <x v="1"/>
    <s v="OK"/>
    <s v="OK"/>
  </r>
  <r>
    <s v="6f13f784-4797-45c1-b9ab-e0a1b9f44cd7"/>
    <x v="0"/>
    <x v="0"/>
    <d v="2025-01-01T00:00:00"/>
    <d v="2025-03-12T00:00:00"/>
    <n v="2162"/>
    <x v="3"/>
    <x v="3"/>
    <d v="2025-05-02T00:00:00"/>
    <s v="Qualified"/>
    <x v="1"/>
    <s v="No Follow-up"/>
    <s v="Facebook Ads"/>
    <n v="36"/>
    <x v="0"/>
    <s v="OK"/>
    <s v="OK"/>
  </r>
  <r>
    <s v="d306fdb7-9009-47a2-8f7a-501eb4a9d0e9"/>
    <x v="0"/>
    <x v="0"/>
    <d v="2025-06-07T00:00:00"/>
    <d v="2025-03-14T00:00:00"/>
    <n v="4736"/>
    <x v="3"/>
    <x v="3"/>
    <d v="2025-06-30T00:00:00"/>
    <s v="Unqualified"/>
    <x v="1"/>
    <s v="No Follow-up"/>
    <s v="Facebook Ads"/>
    <n v="38"/>
    <x v="1"/>
    <s v="ERROR"/>
    <s v="OK"/>
  </r>
  <r>
    <s v="9590df60-716c-4ddf-b89f-e9abb8d37b71"/>
    <x v="3"/>
    <x v="2"/>
    <d v="2025-04-02T00:00:00"/>
    <d v="2025-04-02T00:00:00"/>
    <n v="0"/>
    <x v="3"/>
    <x v="0"/>
    <s v="NA"/>
    <s v="Qualified"/>
    <x v="0"/>
    <s v="Pending Follow-up"/>
    <s v="Google Ads Campaign"/>
    <n v="51"/>
    <x v="1"/>
    <s v="OK"/>
    <s v="OK"/>
  </r>
  <r>
    <s v="d5eba5db-4205-492f-a3f4-d000d50c932c"/>
    <x v="1"/>
    <x v="0"/>
    <d v="2025-06-10T00:00:00"/>
    <d v="2025-01-31T00:00:00"/>
    <n v="4068"/>
    <x v="2"/>
    <x v="1"/>
    <d v="2025-01-26T00:00:00"/>
    <s v="Qualified"/>
    <x v="2"/>
    <s v="Contacted"/>
    <s v="Google Ads Campaign"/>
    <n v="58"/>
    <x v="0"/>
    <s v="ERROR"/>
    <s v="ERROR"/>
  </r>
  <r>
    <s v="2b9ce9d9-1eab-4ace-a377-4d6878af3940"/>
    <x v="0"/>
    <x v="0"/>
    <d v="2025-01-04T00:00:00"/>
    <d v="2025-05-04T00:00:00"/>
    <n v="4504"/>
    <x v="1"/>
    <x v="3"/>
    <d v="2025-07-13T00:00:00"/>
    <s v="Unqualified"/>
    <x v="1"/>
    <s v="Contacted"/>
    <s v="Referral Program"/>
    <n v="42"/>
    <x v="0"/>
    <s v="OK"/>
    <s v="OK"/>
  </r>
  <r>
    <s v="e25a690d-e273-4b9d-9dcd-8f043adb2803"/>
    <x v="3"/>
    <x v="1"/>
    <d v="2025-05-26T00:00:00"/>
    <d v="2025-05-27T00:00:00"/>
    <n v="0"/>
    <x v="1"/>
    <x v="2"/>
    <s v="NA"/>
    <s v="Qualified"/>
    <x v="3"/>
    <s v="Pending Follow-up"/>
    <s v="Organic Search"/>
    <n v="67"/>
    <x v="0"/>
    <s v="OK"/>
    <s v="OK"/>
  </r>
  <r>
    <s v="1ab65816-0098-43ba-bc6a-607b938f08c2"/>
    <x v="3"/>
    <x v="1"/>
    <d v="2025-06-24T00:00:00"/>
    <d v="2025-01-30T00:00:00"/>
    <n v="0"/>
    <x v="1"/>
    <x v="3"/>
    <s v="NA"/>
    <s v="Qualified"/>
    <x v="1"/>
    <s v="Contacted"/>
    <s v="Google Ads Campaign"/>
    <n v="66"/>
    <x v="2"/>
    <s v="ERROR"/>
    <s v="OK"/>
  </r>
  <r>
    <s v="823b2996-4c09-42f7-8615-3416cf94bfd2"/>
    <x v="0"/>
    <x v="0"/>
    <d v="2025-09-05T00:00:00"/>
    <d v="2025-08-06T00:00:00"/>
    <n v="3832"/>
    <x v="1"/>
    <x v="2"/>
    <d v="2025-02-02T00:00:00"/>
    <s v="Qualified"/>
    <x v="1"/>
    <s v="Completed"/>
    <s v="Referral Program"/>
    <n v="45"/>
    <x v="0"/>
    <s v="ERROR"/>
    <s v="ERROR"/>
  </r>
  <r>
    <s v="d3a1eca6-557d-4374-b03a-a3d4a685129d"/>
    <x v="2"/>
    <x v="2"/>
    <d v="2025-03-26T00:00:00"/>
    <d v="2025-03-26T00:00:00"/>
    <n v="0"/>
    <x v="1"/>
    <x v="1"/>
    <s v="NA"/>
    <s v="Unqualified"/>
    <x v="3"/>
    <s v="Pending Follow-up"/>
    <s v="Google Ads Campaign"/>
    <n v="73"/>
    <x v="0"/>
    <s v="OK"/>
    <s v="OK"/>
  </r>
  <r>
    <s v="4eeac773-7f58-4099-b6dd-e1f84c105068"/>
    <x v="3"/>
    <x v="0"/>
    <d v="2025-05-17T00:00:00"/>
    <d v="2025-06-04T00:00:00"/>
    <n v="2236"/>
    <x v="2"/>
    <x v="2"/>
    <d v="2025-03-30T00:00:00"/>
    <s v="Unqualified"/>
    <x v="1"/>
    <s v="Completed"/>
    <s v="Organic Search"/>
    <n v="49"/>
    <x v="1"/>
    <s v="OK"/>
    <s v="ERROR"/>
  </r>
  <r>
    <s v="62f56a29-7f1b-491c-9c77-df1250e87e28"/>
    <x v="0"/>
    <x v="0"/>
    <d v="2025-09-27T00:00:00"/>
    <d v="2025-02-12T00:00:00"/>
    <n v="2110"/>
    <x v="1"/>
    <x v="0"/>
    <d v="2025-07-16T00:00:00"/>
    <s v="Unqualified"/>
    <x v="2"/>
    <s v="No Follow-up"/>
    <s v="Referral Program"/>
    <n v="56"/>
    <x v="2"/>
    <s v="ERROR"/>
    <s v="ERROR"/>
  </r>
  <r>
    <s v="7bf0a25a-76fe-49d6-a2c9-e9dfdd5dd6ee"/>
    <x v="0"/>
    <x v="2"/>
    <d v="2025-03-29T00:00:00"/>
    <d v="2025-03-29T00:00:00"/>
    <n v="0"/>
    <x v="3"/>
    <x v="1"/>
    <s v="NA"/>
    <s v="Qualified"/>
    <x v="3"/>
    <s v="Contacted"/>
    <s v="Organic Search"/>
    <n v="49"/>
    <x v="0"/>
    <s v="OK"/>
    <s v="OK"/>
  </r>
  <r>
    <s v="9a3f4a56-d48d-4970-a840-c5f8ed450c88"/>
    <x v="0"/>
    <x v="2"/>
    <d v="2025-01-05T00:00:00"/>
    <d v="2025-01-05T00:00:00"/>
    <n v="0"/>
    <x v="1"/>
    <x v="3"/>
    <s v="NA"/>
    <s v="Qualified"/>
    <x v="1"/>
    <s v="Follow-up Scheduled"/>
    <s v="Google Ads Campaign"/>
    <n v="87"/>
    <x v="1"/>
    <s v="OK"/>
    <s v="OK"/>
  </r>
  <r>
    <s v="8e6309f0-e51d-4e92-af27-0b87a64b56db"/>
    <x v="3"/>
    <x v="0"/>
    <d v="2025-02-07T00:00:00"/>
    <d v="2025-03-08T00:00:00"/>
    <n v="4689"/>
    <x v="1"/>
    <x v="1"/>
    <d v="2025-01-05T00:00:00"/>
    <s v="Qualified"/>
    <x v="0"/>
    <s v="Completed"/>
    <s v="Organic Search"/>
    <n v="60"/>
    <x v="1"/>
    <s v="OK"/>
    <s v="ERROR"/>
  </r>
  <r>
    <s v="602f9971-e821-4188-a084-3482108f3f83"/>
    <x v="2"/>
    <x v="1"/>
    <d v="2025-09-29T00:00:00"/>
    <d v="2025-06-11T00:00:00"/>
    <n v="0"/>
    <x v="3"/>
    <x v="2"/>
    <s v="NA"/>
    <s v="Unqualified"/>
    <x v="3"/>
    <s v="No Follow-up"/>
    <s v="Google Ads Campaign"/>
    <n v="46"/>
    <x v="1"/>
    <s v="ERROR"/>
    <s v="OK"/>
  </r>
  <r>
    <s v="13ba4405-db30-42be-a0c0-4c55dca1606e"/>
    <x v="1"/>
    <x v="2"/>
    <d v="2025-01-19T00:00:00"/>
    <d v="2025-01-19T00:00:00"/>
    <n v="0"/>
    <x v="2"/>
    <x v="0"/>
    <s v="NA"/>
    <s v="Qualified"/>
    <x v="0"/>
    <s v="No Follow-up"/>
    <s v="Google Ads Campaign"/>
    <n v="84"/>
    <x v="1"/>
    <s v="OK"/>
    <s v="OK"/>
  </r>
  <r>
    <s v="41be0fa6-e563-4bae-a44b-c77b2a5efa8d"/>
    <x v="1"/>
    <x v="2"/>
    <d v="2025-03-17T00:00:00"/>
    <d v="2025-03-17T00:00:00"/>
    <n v="0"/>
    <x v="1"/>
    <x v="3"/>
    <s v="NA"/>
    <s v="Qualified"/>
    <x v="1"/>
    <s v="Contacted"/>
    <s v="Organic Search"/>
    <n v="62"/>
    <x v="0"/>
    <s v="OK"/>
    <s v="OK"/>
  </r>
  <r>
    <s v="e6684325-ee24-4091-9bdf-b2210981b675"/>
    <x v="1"/>
    <x v="0"/>
    <d v="2025-08-09T00:00:00"/>
    <d v="2025-06-11T00:00:00"/>
    <n v="4845"/>
    <x v="2"/>
    <x v="3"/>
    <d v="2025-05-10T00:00:00"/>
    <s v="Qualified"/>
    <x v="0"/>
    <s v="Completed"/>
    <s v="Facebook Ads"/>
    <n v="31"/>
    <x v="0"/>
    <s v="ERROR"/>
    <s v="ERROR"/>
  </r>
  <r>
    <s v="8581bbce-7f22-4769-9226-1be9284f8520"/>
    <x v="0"/>
    <x v="1"/>
    <d v="2025-05-14T00:00:00"/>
    <d v="2025-08-04T00:00:00"/>
    <n v="0"/>
    <x v="2"/>
    <x v="1"/>
    <s v="NA"/>
    <s v="Qualified"/>
    <x v="1"/>
    <s v="Follow-up Scheduled"/>
    <s v="Facebook Ads"/>
    <n v="43"/>
    <x v="0"/>
    <s v="OK"/>
    <s v="OK"/>
  </r>
  <r>
    <s v="947e7904-ee65-4542-b4b4-e2c0a817aeec"/>
    <x v="1"/>
    <x v="0"/>
    <d v="2025-03-21T00:00:00"/>
    <d v="2025-06-13T00:00:00"/>
    <n v="2949"/>
    <x v="2"/>
    <x v="0"/>
    <d v="2025-09-21T00:00:00"/>
    <s v="Unqualified"/>
    <x v="0"/>
    <s v="Contacted"/>
    <s v="Referral Program"/>
    <n v="78"/>
    <x v="1"/>
    <s v="OK"/>
    <s v="OK"/>
  </r>
  <r>
    <s v="31e5a70f-237d-48e4-be43-6e6e820f5a04"/>
    <x v="0"/>
    <x v="1"/>
    <d v="2025-08-02T00:00:00"/>
    <d v="2025-02-01T00:00:00"/>
    <n v="0"/>
    <x v="3"/>
    <x v="2"/>
    <s v="NA"/>
    <s v="Qualified"/>
    <x v="3"/>
    <s v="Follow-up Scheduled"/>
    <s v="Facebook Ads"/>
    <n v="55"/>
    <x v="0"/>
    <s v="ERROR"/>
    <s v="OK"/>
  </r>
  <r>
    <s v="d0a4b726-23d2-4e15-9d69-9a228f62520f"/>
    <x v="3"/>
    <x v="0"/>
    <d v="2025-04-17T00:00:00"/>
    <d v="2025-05-01T00:00:00"/>
    <n v="3184"/>
    <x v="2"/>
    <x v="1"/>
    <d v="2025-01-26T00:00:00"/>
    <s v="Qualified"/>
    <x v="0"/>
    <s v="Completed"/>
    <s v="Google Ads Campaign"/>
    <n v="42"/>
    <x v="0"/>
    <s v="OK"/>
    <s v="ERROR"/>
  </r>
  <r>
    <s v="5a61d6a6-cded-48e3-8251-550cc8124b85"/>
    <x v="0"/>
    <x v="1"/>
    <d v="2025-07-25T00:00:00"/>
    <d v="2025-03-12T00:00:00"/>
    <n v="0"/>
    <x v="1"/>
    <x v="3"/>
    <s v="NA"/>
    <s v="Qualified"/>
    <x v="2"/>
    <s v="No Follow-up"/>
    <s v="Facebook Ads"/>
    <n v="88"/>
    <x v="2"/>
    <s v="ERROR"/>
    <s v="OK"/>
  </r>
  <r>
    <s v="9513463d-602f-47b6-989d-df91dd00565d"/>
    <x v="2"/>
    <x v="1"/>
    <d v="2025-08-17T00:00:00"/>
    <d v="2025-02-26T00:00:00"/>
    <n v="0"/>
    <x v="3"/>
    <x v="1"/>
    <s v="NA"/>
    <s v="Unqualified"/>
    <x v="3"/>
    <s v="No Follow-up"/>
    <s v="Organic Search"/>
    <n v="44"/>
    <x v="0"/>
    <s v="ERROR"/>
    <s v="OK"/>
  </r>
  <r>
    <s v="ab7b161e-14dd-41a3-ad79-5b4fb50c1dff"/>
    <x v="3"/>
    <x v="0"/>
    <d v="2025-05-27T00:00:00"/>
    <d v="2025-06-25T00:00:00"/>
    <n v="3166"/>
    <x v="3"/>
    <x v="2"/>
    <d v="2025-05-02T00:00:00"/>
    <s v="Unqualified"/>
    <x v="2"/>
    <s v="No Follow-up"/>
    <s v="Organic Search"/>
    <n v="69"/>
    <x v="2"/>
    <s v="OK"/>
    <s v="ERROR"/>
  </r>
  <r>
    <s v="de144ff4-b01a-46fe-b18a-a944f297c675"/>
    <x v="3"/>
    <x v="2"/>
    <d v="2025-10-04T00:00:00"/>
    <d v="2025-10-04T00:00:00"/>
    <n v="0"/>
    <x v="2"/>
    <x v="3"/>
    <s v="NA"/>
    <s v="Qualified"/>
    <x v="3"/>
    <s v="Contacted"/>
    <s v="Referral Program"/>
    <n v="88"/>
    <x v="0"/>
    <s v="OK"/>
    <s v="OK"/>
  </r>
  <r>
    <s v="237e4811-ad85-41af-8e39-a706d73e798e"/>
    <x v="3"/>
    <x v="0"/>
    <d v="2025-08-26T00:00:00"/>
    <d v="2025-05-19T00:00:00"/>
    <n v="4544"/>
    <x v="3"/>
    <x v="1"/>
    <d v="2025-06-11T00:00:00"/>
    <s v="Unqualified"/>
    <x v="1"/>
    <s v="Completed"/>
    <s v="Google Ads Campaign"/>
    <n v="41"/>
    <x v="2"/>
    <s v="ERROR"/>
    <s v="ERROR"/>
  </r>
  <r>
    <s v="8d1082b1-e2ef-40de-94a0-82052c2a042d"/>
    <x v="3"/>
    <x v="0"/>
    <d v="2025-07-04T00:00:00"/>
    <d v="2025-10-05T00:00:00"/>
    <n v="3281"/>
    <x v="2"/>
    <x v="1"/>
    <d v="2025-09-27T00:00:00"/>
    <s v="Unqualified"/>
    <x v="1"/>
    <s v="No Follow-up"/>
    <s v="Google Ads Campaign"/>
    <n v="69"/>
    <x v="2"/>
    <s v="OK"/>
    <s v="OK"/>
  </r>
  <r>
    <s v="2c60e58b-6799-42ca-a0c8-c6993aae0e97"/>
    <x v="0"/>
    <x v="1"/>
    <d v="2025-02-07T00:00:00"/>
    <d v="2025-04-06T00:00:00"/>
    <n v="0"/>
    <x v="0"/>
    <x v="0"/>
    <s v="NA"/>
    <s v="Unqualified"/>
    <x v="3"/>
    <s v="No Follow-up"/>
    <s v="Organic Search"/>
    <n v="36"/>
    <x v="2"/>
    <s v="OK"/>
    <s v="OK"/>
  </r>
  <r>
    <s v="8097059a-0012-4c82-aae3-56143480f938"/>
    <x v="2"/>
    <x v="0"/>
    <d v="2025-07-01T00:00:00"/>
    <d v="2025-04-20T00:00:00"/>
    <n v="2057"/>
    <x v="3"/>
    <x v="3"/>
    <d v="2025-06-22T00:00:00"/>
    <s v="Qualified"/>
    <x v="2"/>
    <s v="No Follow-up"/>
    <s v="Organic Search"/>
    <n v="73"/>
    <x v="2"/>
    <s v="ERROR"/>
    <s v="ERROR"/>
  </r>
  <r>
    <s v="252db2fb-0ccc-42b5-987b-232646bacdf9"/>
    <x v="1"/>
    <x v="0"/>
    <d v="2025-04-09T00:00:00"/>
    <d v="2025-01-07T00:00:00"/>
    <n v="4624"/>
    <x v="0"/>
    <x v="1"/>
    <d v="2025-09-28T00:00:00"/>
    <s v="Qualified"/>
    <x v="2"/>
    <s v="Completed"/>
    <s v="Google Ads Campaign"/>
    <n v="64"/>
    <x v="1"/>
    <s v="ERROR"/>
    <s v="OK"/>
  </r>
  <r>
    <s v="77195bfd-4603-41a8-b26d-f85c0c7534cd"/>
    <x v="1"/>
    <x v="0"/>
    <d v="2025-07-05T00:00:00"/>
    <d v="2025-07-15T00:00:00"/>
    <n v="2978"/>
    <x v="2"/>
    <x v="1"/>
    <d v="2025-07-11T00:00:00"/>
    <s v="Qualified"/>
    <x v="3"/>
    <s v="Completed"/>
    <s v="Organic Search"/>
    <n v="70"/>
    <x v="2"/>
    <s v="OK"/>
    <s v="OK"/>
  </r>
  <r>
    <s v="3d72c2e4-9fd1-4ac5-8641-5259bff9f51f"/>
    <x v="1"/>
    <x v="1"/>
    <d v="2025-09-18T00:00:00"/>
    <d v="2025-08-30T00:00:00"/>
    <n v="0"/>
    <x v="1"/>
    <x v="3"/>
    <s v="NA"/>
    <s v="Qualified"/>
    <x v="2"/>
    <s v="No Follow-up"/>
    <s v="Organic Search"/>
    <n v="57"/>
    <x v="2"/>
    <s v="ERROR"/>
    <s v="OK"/>
  </r>
  <r>
    <s v="0feac74e-d78a-4f5e-92b5-7880f71fe72f"/>
    <x v="3"/>
    <x v="1"/>
    <d v="2025-08-07T00:00:00"/>
    <d v="2025-08-29T00:00:00"/>
    <n v="0"/>
    <x v="1"/>
    <x v="3"/>
    <s v="NA"/>
    <s v="Unqualified"/>
    <x v="1"/>
    <s v="Contacted"/>
    <s v="Google Ads Campaign"/>
    <n v="45"/>
    <x v="0"/>
    <s v="OK"/>
    <s v="OK"/>
  </r>
  <r>
    <s v="da991830-246c-47f4-81a2-dc34020fae10"/>
    <x v="0"/>
    <x v="0"/>
    <d v="2025-03-29T00:00:00"/>
    <d v="2025-06-19T00:00:00"/>
    <n v="4628"/>
    <x v="1"/>
    <x v="0"/>
    <d v="2025-09-29T00:00:00"/>
    <s v="Unqualified"/>
    <x v="0"/>
    <s v="No Follow-up"/>
    <s v="Facebook Ads"/>
    <n v="74"/>
    <x v="1"/>
    <s v="OK"/>
    <s v="OK"/>
  </r>
  <r>
    <s v="cf058e56-9b40-4001-9002-fc438724d829"/>
    <x v="2"/>
    <x v="1"/>
    <d v="2025-03-23T00:00:00"/>
    <d v="2025-02-11T00:00:00"/>
    <n v="0"/>
    <x v="2"/>
    <x v="1"/>
    <s v="NA"/>
    <s v="Qualified"/>
    <x v="0"/>
    <s v="Pending Follow-up"/>
    <s v="Google Ads Campaign"/>
    <n v="90"/>
    <x v="2"/>
    <s v="ERROR"/>
    <s v="OK"/>
  </r>
  <r>
    <s v="742424e3-7970-4a90-8c47-de3209a4b880"/>
    <x v="3"/>
    <x v="0"/>
    <d v="2025-02-16T00:00:00"/>
    <d v="2025-07-19T00:00:00"/>
    <n v="4434"/>
    <x v="2"/>
    <x v="0"/>
    <d v="2025-01-18T00:00:00"/>
    <s v="Qualified"/>
    <x v="0"/>
    <s v="Contacted"/>
    <s v="Google Ads Campaign"/>
    <n v="54"/>
    <x v="0"/>
    <s v="OK"/>
    <s v="ERROR"/>
  </r>
  <r>
    <s v="044668fc-1e0f-4225-83f6-4f090f18e2eb"/>
    <x v="2"/>
    <x v="1"/>
    <d v="2025-07-22T00:00:00"/>
    <d v="2025-04-20T00:00:00"/>
    <n v="0"/>
    <x v="2"/>
    <x v="0"/>
    <s v="NA"/>
    <s v="Qualified"/>
    <x v="2"/>
    <s v="No Follow-up"/>
    <s v="Organic Search"/>
    <n v="51"/>
    <x v="2"/>
    <s v="ERROR"/>
    <s v="OK"/>
  </r>
  <r>
    <s v="10ff1f73-0e8f-450f-bbdb-38850f3e1078"/>
    <x v="2"/>
    <x v="2"/>
    <d v="2025-03-20T00:00:00"/>
    <d v="2025-03-20T00:00:00"/>
    <n v="0"/>
    <x v="2"/>
    <x v="0"/>
    <s v="NA"/>
    <s v="Qualified"/>
    <x v="1"/>
    <s v="No Follow-up"/>
    <s v="Referral Program"/>
    <n v="65"/>
    <x v="2"/>
    <s v="OK"/>
    <s v="OK"/>
  </r>
  <r>
    <s v="3a685e45-86ad-4d47-b24d-1a2b0456b34b"/>
    <x v="2"/>
    <x v="0"/>
    <d v="2025-06-25T00:00:00"/>
    <d v="2025-03-26T00:00:00"/>
    <n v="2841"/>
    <x v="0"/>
    <x v="1"/>
    <d v="2025-01-27T00:00:00"/>
    <s v="Unqualified"/>
    <x v="3"/>
    <s v="Completed"/>
    <s v="Referral Program"/>
    <n v="70"/>
    <x v="0"/>
    <s v="ERROR"/>
    <s v="ERROR"/>
  </r>
  <r>
    <s v="134ef0ab-e301-456e-8109-2f3da5aa3385"/>
    <x v="3"/>
    <x v="1"/>
    <d v="2025-03-12T00:00:00"/>
    <d v="2025-04-19T00:00:00"/>
    <n v="0"/>
    <x v="2"/>
    <x v="1"/>
    <s v="NA"/>
    <s v="Qualified"/>
    <x v="0"/>
    <s v="No Follow-up"/>
    <s v="Google Ads Campaign"/>
    <n v="52"/>
    <x v="0"/>
    <s v="OK"/>
    <s v="OK"/>
  </r>
  <r>
    <s v="0e067b61-e1b7-47f8-93b5-d56059962c86"/>
    <x v="3"/>
    <x v="2"/>
    <d v="2025-09-26T00:00:00"/>
    <d v="2025-09-26T00:00:00"/>
    <n v="0"/>
    <x v="0"/>
    <x v="3"/>
    <s v="NA"/>
    <s v="Unqualified"/>
    <x v="2"/>
    <s v="No Follow-up"/>
    <s v="Facebook Ads"/>
    <n v="91"/>
    <x v="0"/>
    <s v="OK"/>
    <s v="OK"/>
  </r>
  <r>
    <s v="d319560b-8441-4d4f-aa92-ca3659c5a6d1"/>
    <x v="2"/>
    <x v="0"/>
    <d v="2025-05-11T00:00:00"/>
    <d v="2025-08-10T00:00:00"/>
    <n v="3138"/>
    <x v="3"/>
    <x v="3"/>
    <d v="2025-05-20T00:00:00"/>
    <s v="Qualified"/>
    <x v="0"/>
    <s v="Completed"/>
    <s v="Google Ads Campaign"/>
    <n v="48"/>
    <x v="1"/>
    <s v="OK"/>
    <s v="OK"/>
  </r>
  <r>
    <s v="ba48f08b-0980-4d5b-bfb5-1bfa76271504"/>
    <x v="0"/>
    <x v="0"/>
    <d v="2025-05-26T00:00:00"/>
    <d v="2025-02-11T00:00:00"/>
    <n v="2947"/>
    <x v="1"/>
    <x v="3"/>
    <d v="2025-04-28T00:00:00"/>
    <s v="Qualified"/>
    <x v="1"/>
    <s v="Completed"/>
    <s v="Facebook Ads"/>
    <n v="71"/>
    <x v="0"/>
    <s v="ERROR"/>
    <s v="ERROR"/>
  </r>
  <r>
    <s v="311c426c-df41-44ce-8f7a-09d72b172513"/>
    <x v="2"/>
    <x v="2"/>
    <d v="2025-08-09T00:00:00"/>
    <d v="2025-08-09T00:00:00"/>
    <n v="0"/>
    <x v="3"/>
    <x v="3"/>
    <s v="NA"/>
    <s v="Qualified"/>
    <x v="3"/>
    <s v="Pending Follow-up"/>
    <s v="Referral Program"/>
    <n v="91"/>
    <x v="2"/>
    <s v="OK"/>
    <s v="OK"/>
  </r>
  <r>
    <s v="03cd9597-a7cb-4fb7-bbce-02fb999e266d"/>
    <x v="0"/>
    <x v="1"/>
    <d v="2025-09-10T00:00:00"/>
    <d v="2025-04-14T00:00:00"/>
    <n v="0"/>
    <x v="0"/>
    <x v="1"/>
    <s v="NA"/>
    <s v="Qualified"/>
    <x v="0"/>
    <s v="No Follow-up"/>
    <s v="Organic Search"/>
    <n v="84"/>
    <x v="0"/>
    <s v="ERROR"/>
    <s v="OK"/>
  </r>
  <r>
    <s v="562f8014-5846-41d9-952d-848022aa0ebe"/>
    <x v="2"/>
    <x v="0"/>
    <d v="2025-07-04T00:00:00"/>
    <d v="2025-08-10T00:00:00"/>
    <n v="2009"/>
    <x v="0"/>
    <x v="1"/>
    <d v="2025-01-27T00:00:00"/>
    <s v="Qualified"/>
    <x v="2"/>
    <s v="Contacted"/>
    <s v="Referral Program"/>
    <n v="49"/>
    <x v="2"/>
    <s v="OK"/>
    <s v="ERROR"/>
  </r>
  <r>
    <s v="4f1e44a9-bc18-406b-b01f-be7d7208946c"/>
    <x v="3"/>
    <x v="1"/>
    <d v="2025-01-21T00:00:00"/>
    <d v="2025-07-11T00:00:00"/>
    <n v="0"/>
    <x v="2"/>
    <x v="1"/>
    <s v="NA"/>
    <s v="Unqualified"/>
    <x v="1"/>
    <s v="Contacted"/>
    <s v="Facebook Ads"/>
    <n v="31"/>
    <x v="2"/>
    <s v="OK"/>
    <s v="OK"/>
  </r>
  <r>
    <s v="2064c017-8677-4489-a32d-2a6df2747729"/>
    <x v="1"/>
    <x v="2"/>
    <d v="2025-05-07T00:00:00"/>
    <d v="2025-05-07T00:00:00"/>
    <n v="0"/>
    <x v="1"/>
    <x v="0"/>
    <s v="NA"/>
    <s v="Qualified"/>
    <x v="2"/>
    <s v="Follow-up Scheduled"/>
    <s v="Organic Search"/>
    <n v="52"/>
    <x v="2"/>
    <s v="OK"/>
    <s v="OK"/>
  </r>
  <r>
    <s v="02716414-b3bf-410c-a071-1de0f59c7b9b"/>
    <x v="0"/>
    <x v="2"/>
    <d v="2025-06-19T00:00:00"/>
    <d v="2025-06-19T00:00:00"/>
    <n v="0"/>
    <x v="2"/>
    <x v="3"/>
    <s v="NA"/>
    <s v="Unqualified"/>
    <x v="1"/>
    <s v="Pending Follow-up"/>
    <s v="Organic Search"/>
    <n v="69"/>
    <x v="1"/>
    <s v="OK"/>
    <s v="OK"/>
  </r>
  <r>
    <s v="79c0eb71-9ba1-4199-adac-8dc50429ca55"/>
    <x v="2"/>
    <x v="2"/>
    <d v="2025-02-13T00:00:00"/>
    <d v="2025-02-13T00:00:00"/>
    <n v="0"/>
    <x v="0"/>
    <x v="3"/>
    <s v="NA"/>
    <s v="Qualified"/>
    <x v="0"/>
    <s v="Pending Follow-up"/>
    <s v="Organic Search"/>
    <n v="91"/>
    <x v="0"/>
    <s v="OK"/>
    <s v="OK"/>
  </r>
  <r>
    <s v="03ff9124-750f-4e8f-9431-5370624108b8"/>
    <x v="2"/>
    <x v="0"/>
    <d v="2025-07-03T00:00:00"/>
    <d v="2025-07-08T00:00:00"/>
    <n v="2183"/>
    <x v="3"/>
    <x v="3"/>
    <d v="2025-04-01T00:00:00"/>
    <s v="Unqualified"/>
    <x v="3"/>
    <s v="No Follow-up"/>
    <s v="Google Ads Campaign"/>
    <n v="44"/>
    <x v="0"/>
    <s v="OK"/>
    <s v="ERROR"/>
  </r>
  <r>
    <s v="f19484fa-28c7-47d1-bafd-24e2398e35a6"/>
    <x v="2"/>
    <x v="2"/>
    <d v="2025-01-23T00:00:00"/>
    <d v="2025-01-23T00:00:00"/>
    <n v="0"/>
    <x v="1"/>
    <x v="0"/>
    <s v="NA"/>
    <s v="Qualified"/>
    <x v="3"/>
    <s v="Contacted"/>
    <s v="Referral Program"/>
    <n v="38"/>
    <x v="2"/>
    <s v="OK"/>
    <s v="OK"/>
  </r>
  <r>
    <s v="0b9ff4db-72d0-42b8-b491-78ab2a6fc908"/>
    <x v="2"/>
    <x v="2"/>
    <d v="2025-04-13T00:00:00"/>
    <d v="2025-04-13T00:00:00"/>
    <n v="0"/>
    <x v="0"/>
    <x v="1"/>
    <s v="NA"/>
    <s v="Qualified"/>
    <x v="2"/>
    <s v="Pending Follow-up"/>
    <s v="Organic Search"/>
    <n v="50"/>
    <x v="0"/>
    <s v="OK"/>
    <s v="OK"/>
  </r>
  <r>
    <s v="f2647426-d0d6-4e0f-99f1-1a4dcb858965"/>
    <x v="2"/>
    <x v="2"/>
    <d v="2025-07-17T00:00:00"/>
    <d v="2025-07-17T00:00:00"/>
    <n v="0"/>
    <x v="0"/>
    <x v="1"/>
    <s v="NA"/>
    <s v="Unqualified"/>
    <x v="2"/>
    <s v="Pending Follow-up"/>
    <s v="Referral Program"/>
    <n v="58"/>
    <x v="1"/>
    <s v="OK"/>
    <s v="OK"/>
  </r>
  <r>
    <s v="c1dcf691-bdd2-4466-8386-c807e98def28"/>
    <x v="0"/>
    <x v="0"/>
    <d v="2025-02-20T00:00:00"/>
    <d v="2025-02-15T00:00:00"/>
    <n v="2480"/>
    <x v="0"/>
    <x v="2"/>
    <d v="2025-06-23T00:00:00"/>
    <s v="Unqualified"/>
    <x v="1"/>
    <s v="Completed"/>
    <s v="Organic Search"/>
    <n v="39"/>
    <x v="1"/>
    <s v="ERROR"/>
    <s v="OK"/>
  </r>
  <r>
    <s v="c97b887c-b6d8-4a48-a349-1768e4f3a585"/>
    <x v="0"/>
    <x v="2"/>
    <d v="2025-03-31T00:00:00"/>
    <d v="2025-03-31T00:00:00"/>
    <n v="0"/>
    <x v="3"/>
    <x v="1"/>
    <s v="NA"/>
    <s v="Qualified"/>
    <x v="3"/>
    <s v="Pending Follow-up"/>
    <s v="Google Ads Campaign"/>
    <n v="77"/>
    <x v="1"/>
    <s v="OK"/>
    <s v="OK"/>
  </r>
  <r>
    <s v="8271b3db-81ed-46f5-afdc-b8d38bb1a2f2"/>
    <x v="1"/>
    <x v="1"/>
    <d v="2025-09-19T00:00:00"/>
    <d v="2025-09-26T00:00:00"/>
    <n v="0"/>
    <x v="1"/>
    <x v="1"/>
    <s v="NA"/>
    <s v="Unqualified"/>
    <x v="0"/>
    <s v="Contacted"/>
    <s v="Referral Program"/>
    <n v="64"/>
    <x v="1"/>
    <s v="OK"/>
    <s v="OK"/>
  </r>
  <r>
    <s v="f7006e6d-13d0-42f6-b991-c3abc2037395"/>
    <x v="3"/>
    <x v="0"/>
    <d v="2025-03-14T00:00:00"/>
    <d v="2025-01-06T00:00:00"/>
    <n v="2615"/>
    <x v="0"/>
    <x v="2"/>
    <d v="2025-01-20T00:00:00"/>
    <s v="Qualified"/>
    <x v="0"/>
    <s v="Completed"/>
    <s v="Organic Search"/>
    <n v="66"/>
    <x v="0"/>
    <s v="ERROR"/>
    <s v="ERROR"/>
  </r>
  <r>
    <s v="d723ba6c-bfae-477e-98e7-fdcdd0150357"/>
    <x v="0"/>
    <x v="1"/>
    <d v="2025-04-25T00:00:00"/>
    <d v="2025-04-02T00:00:00"/>
    <n v="0"/>
    <x v="1"/>
    <x v="2"/>
    <s v="NA"/>
    <s v="Qualified"/>
    <x v="1"/>
    <s v="Follow-up Scheduled"/>
    <s v="Referral Program"/>
    <n v="50"/>
    <x v="0"/>
    <s v="ERROR"/>
    <s v="OK"/>
  </r>
  <r>
    <s v="ab9a0d16-41dd-4d0f-9a90-11f86cd91325"/>
    <x v="0"/>
    <x v="1"/>
    <d v="2025-10-04T00:00:00"/>
    <d v="2025-04-12T00:00:00"/>
    <n v="0"/>
    <x v="0"/>
    <x v="0"/>
    <s v="NA"/>
    <s v="Qualified"/>
    <x v="3"/>
    <s v="No Follow-up"/>
    <s v="Facebook Ads"/>
    <n v="32"/>
    <x v="1"/>
    <s v="ERROR"/>
    <s v="OK"/>
  </r>
  <r>
    <s v="2163b1a7-e8c0-4cd9-9ef8-b1e0753737eb"/>
    <x v="3"/>
    <x v="0"/>
    <d v="2025-03-08T00:00:00"/>
    <d v="2025-05-24T00:00:00"/>
    <n v="4548"/>
    <x v="1"/>
    <x v="1"/>
    <d v="2025-03-05T00:00:00"/>
    <s v="Qualified"/>
    <x v="0"/>
    <s v="Completed"/>
    <s v="Organic Search"/>
    <n v="63"/>
    <x v="0"/>
    <s v="OK"/>
    <s v="ERROR"/>
  </r>
  <r>
    <s v="d018d6c9-3722-4632-b315-203f18766b4e"/>
    <x v="3"/>
    <x v="0"/>
    <d v="2025-04-25T00:00:00"/>
    <d v="2025-02-21T00:00:00"/>
    <n v="4591"/>
    <x v="0"/>
    <x v="3"/>
    <d v="2025-02-09T00:00:00"/>
    <s v="Qualified"/>
    <x v="3"/>
    <s v="Contacted"/>
    <s v="Referral Program"/>
    <n v="56"/>
    <x v="1"/>
    <s v="ERROR"/>
    <s v="ERROR"/>
  </r>
  <r>
    <s v="0dd899ad-6891-4964-8b6f-9078c1cd9311"/>
    <x v="2"/>
    <x v="0"/>
    <d v="2025-08-04T00:00:00"/>
    <d v="2025-09-02T00:00:00"/>
    <n v="4208"/>
    <x v="3"/>
    <x v="0"/>
    <d v="2025-01-19T00:00:00"/>
    <s v="Qualified"/>
    <x v="1"/>
    <s v="Contacted"/>
    <s v="Organic Search"/>
    <n v="94"/>
    <x v="0"/>
    <s v="OK"/>
    <s v="ERROR"/>
  </r>
  <r>
    <s v="37a1a462-17d4-45ae-82b1-748c4414923b"/>
    <x v="0"/>
    <x v="0"/>
    <d v="2025-06-14T00:00:00"/>
    <d v="2025-10-11T00:00:00"/>
    <n v="3115"/>
    <x v="0"/>
    <x v="0"/>
    <d v="2025-05-21T00:00:00"/>
    <s v="Unqualified"/>
    <x v="1"/>
    <s v="Contacted"/>
    <s v="Referral Program"/>
    <n v="57"/>
    <x v="1"/>
    <s v="OK"/>
    <s v="ERROR"/>
  </r>
  <r>
    <s v="bf45a38c-b950-4892-97f6-93897f4de478"/>
    <x v="2"/>
    <x v="2"/>
    <d v="2025-07-06T00:00:00"/>
    <d v="2025-07-06T00:00:00"/>
    <n v="0"/>
    <x v="2"/>
    <x v="3"/>
    <s v="NA"/>
    <s v="Unqualified"/>
    <x v="0"/>
    <s v="Pending Follow-up"/>
    <s v="Facebook Ads"/>
    <n v="47"/>
    <x v="0"/>
    <s v="OK"/>
    <s v="OK"/>
  </r>
  <r>
    <s v="93fe3cad-3a32-4aca-840f-f147f7e8ac06"/>
    <x v="1"/>
    <x v="0"/>
    <d v="2025-07-23T00:00:00"/>
    <d v="2025-02-14T00:00:00"/>
    <n v="4363"/>
    <x v="1"/>
    <x v="2"/>
    <d v="2025-05-14T00:00:00"/>
    <s v="Qualified"/>
    <x v="2"/>
    <s v="Completed"/>
    <s v="Facebook Ads"/>
    <n v="40"/>
    <x v="0"/>
    <s v="ERROR"/>
    <s v="ERROR"/>
  </r>
  <r>
    <s v="78f0e130-07f4-4613-96a2-94eabc861acd"/>
    <x v="3"/>
    <x v="1"/>
    <d v="2025-05-02T00:00:00"/>
    <d v="2025-06-19T00:00:00"/>
    <n v="0"/>
    <x v="1"/>
    <x v="1"/>
    <s v="NA"/>
    <s v="Unqualified"/>
    <x v="3"/>
    <s v="No Follow-up"/>
    <s v="Google Ads Campaign"/>
    <n v="74"/>
    <x v="0"/>
    <s v="OK"/>
    <s v="OK"/>
  </r>
  <r>
    <s v="89b34cc8-6645-4c83-8e62-193eb9780f8c"/>
    <x v="1"/>
    <x v="2"/>
    <d v="2025-06-10T00:00:00"/>
    <d v="2025-06-10T00:00:00"/>
    <n v="0"/>
    <x v="1"/>
    <x v="0"/>
    <s v="NA"/>
    <s v="Qualified"/>
    <x v="3"/>
    <s v="No Follow-up"/>
    <s v="Facebook Ads"/>
    <n v="61"/>
    <x v="0"/>
    <s v="OK"/>
    <s v="OK"/>
  </r>
  <r>
    <s v="4658a3b9-063f-4a9e-a64f-4eb3a0a9f783"/>
    <x v="0"/>
    <x v="0"/>
    <d v="2025-07-11T00:00:00"/>
    <d v="2025-05-03T00:00:00"/>
    <n v="4505"/>
    <x v="2"/>
    <x v="2"/>
    <d v="2025-03-23T00:00:00"/>
    <s v="Qualified"/>
    <x v="2"/>
    <s v="Completed"/>
    <s v="Google Ads Campaign"/>
    <n v="47"/>
    <x v="1"/>
    <s v="ERROR"/>
    <s v="ERROR"/>
  </r>
  <r>
    <s v="a2c14eca-ca7e-42e0-9cf1-78a9f55e5c9d"/>
    <x v="1"/>
    <x v="2"/>
    <d v="2025-01-14T00:00:00"/>
    <d v="2025-01-14T00:00:00"/>
    <n v="0"/>
    <x v="0"/>
    <x v="3"/>
    <s v="NA"/>
    <s v="Unqualified"/>
    <x v="1"/>
    <s v="Follow-up Scheduled"/>
    <s v="Google Ads Campaign"/>
    <n v="32"/>
    <x v="1"/>
    <s v="OK"/>
    <s v="OK"/>
  </r>
  <r>
    <s v="873654cc-ce2a-4a22-b72d-e82f0aaf71db"/>
    <x v="0"/>
    <x v="2"/>
    <d v="2025-08-23T00:00:00"/>
    <d v="2025-08-23T00:00:00"/>
    <n v="0"/>
    <x v="3"/>
    <x v="0"/>
    <s v="NA"/>
    <s v="Unqualified"/>
    <x v="1"/>
    <s v="Pending Follow-up"/>
    <s v="Referral Program"/>
    <n v="88"/>
    <x v="1"/>
    <s v="OK"/>
    <s v="OK"/>
  </r>
  <r>
    <s v="27a88f71-acd8-460b-84fd-4395d5d96c81"/>
    <x v="0"/>
    <x v="2"/>
    <d v="2025-07-17T00:00:00"/>
    <d v="2025-07-17T00:00:00"/>
    <n v="0"/>
    <x v="0"/>
    <x v="0"/>
    <s v="NA"/>
    <s v="Unqualified"/>
    <x v="0"/>
    <s v="Follow-up Scheduled"/>
    <s v="Organic Search"/>
    <n v="74"/>
    <x v="0"/>
    <s v="OK"/>
    <s v="OK"/>
  </r>
  <r>
    <s v="bfa7aef8-6ec6-44dd-a9ac-784d6c88a119"/>
    <x v="3"/>
    <x v="0"/>
    <d v="2025-03-17T00:00:00"/>
    <d v="2025-06-27T00:00:00"/>
    <n v="3319"/>
    <x v="0"/>
    <x v="1"/>
    <d v="2025-09-23T00:00:00"/>
    <s v="Unqualified"/>
    <x v="1"/>
    <s v="No Follow-up"/>
    <s v="Referral Program"/>
    <n v="80"/>
    <x v="1"/>
    <s v="OK"/>
    <s v="OK"/>
  </r>
  <r>
    <s v="fa15da99-73a3-4485-9690-829fa3d59d8d"/>
    <x v="0"/>
    <x v="2"/>
    <d v="2025-09-18T00:00:00"/>
    <d v="2025-09-18T00:00:00"/>
    <n v="0"/>
    <x v="2"/>
    <x v="3"/>
    <s v="NA"/>
    <s v="Unqualified"/>
    <x v="2"/>
    <s v="Follow-up Scheduled"/>
    <s v="Facebook Ads"/>
    <n v="78"/>
    <x v="0"/>
    <s v="OK"/>
    <s v="OK"/>
  </r>
  <r>
    <s v="a9227143-39c3-490c-98f3-5b9754e4440f"/>
    <x v="3"/>
    <x v="0"/>
    <d v="2025-04-13T00:00:00"/>
    <d v="2025-02-27T00:00:00"/>
    <n v="3061"/>
    <x v="0"/>
    <x v="0"/>
    <d v="2025-05-23T00:00:00"/>
    <s v="Unqualified"/>
    <x v="2"/>
    <s v="Completed"/>
    <s v="Referral Program"/>
    <n v="81"/>
    <x v="1"/>
    <s v="ERROR"/>
    <s v="OK"/>
  </r>
  <r>
    <s v="81513966-deab-4ec2-978a-1934e384a128"/>
    <x v="3"/>
    <x v="0"/>
    <d v="2025-08-12T00:00:00"/>
    <d v="2025-03-12T00:00:00"/>
    <n v="2225"/>
    <x v="2"/>
    <x v="3"/>
    <d v="2025-06-20T00:00:00"/>
    <s v="Unqualified"/>
    <x v="2"/>
    <s v="Contacted"/>
    <s v="Organic Search"/>
    <n v="47"/>
    <x v="1"/>
    <s v="ERROR"/>
    <s v="ERROR"/>
  </r>
  <r>
    <s v="00b74fc9-9b1c-4823-b43a-dc659570a8eb"/>
    <x v="0"/>
    <x v="2"/>
    <d v="2025-09-28T00:00:00"/>
    <d v="2025-09-28T00:00:00"/>
    <n v="0"/>
    <x v="0"/>
    <x v="0"/>
    <s v="NA"/>
    <s v="Qualified"/>
    <x v="3"/>
    <s v="Pending Follow-up"/>
    <s v="Organic Search"/>
    <n v="58"/>
    <x v="2"/>
    <s v="OK"/>
    <s v="OK"/>
  </r>
  <r>
    <s v="365a91e8-ef64-43a2-b2e9-cc4f0bc09b2d"/>
    <x v="0"/>
    <x v="1"/>
    <d v="2025-09-21T00:00:00"/>
    <d v="2025-03-17T00:00:00"/>
    <n v="0"/>
    <x v="3"/>
    <x v="0"/>
    <s v="NA"/>
    <s v="Unqualified"/>
    <x v="2"/>
    <s v="Contacted"/>
    <s v="Facebook Ads"/>
    <n v="76"/>
    <x v="2"/>
    <s v="ERROR"/>
    <s v="OK"/>
  </r>
  <r>
    <s v="6c93a5d7-9e80-4a87-8fb2-ad812f8444ee"/>
    <x v="2"/>
    <x v="0"/>
    <d v="2025-10-13T00:00:00"/>
    <d v="2025-06-17T00:00:00"/>
    <n v="3504"/>
    <x v="0"/>
    <x v="0"/>
    <d v="2025-06-09T00:00:00"/>
    <s v="Qualified"/>
    <x v="1"/>
    <s v="No Follow-up"/>
    <s v="Referral Program"/>
    <n v="48"/>
    <x v="1"/>
    <s v="ERROR"/>
    <s v="ERROR"/>
  </r>
  <r>
    <s v="7bbf9a26-6b15-4c87-b4fc-e2c3fb475541"/>
    <x v="1"/>
    <x v="0"/>
    <d v="2025-06-27T00:00:00"/>
    <d v="2025-07-31T00:00:00"/>
    <n v="2511"/>
    <x v="0"/>
    <x v="3"/>
    <d v="2025-09-24T00:00:00"/>
    <s v="Unqualified"/>
    <x v="0"/>
    <s v="Completed"/>
    <s v="Organic Search"/>
    <n v="33"/>
    <x v="0"/>
    <s v="OK"/>
    <s v="OK"/>
  </r>
  <r>
    <s v="81da66fe-1cfb-4cb6-9d28-c3a9679893b9"/>
    <x v="3"/>
    <x v="1"/>
    <d v="2025-04-23T00:00:00"/>
    <d v="2025-04-18T00:00:00"/>
    <n v="0"/>
    <x v="1"/>
    <x v="0"/>
    <s v="NA"/>
    <s v="Unqualified"/>
    <x v="0"/>
    <s v="Pending Follow-up"/>
    <s v="Referral Program"/>
    <n v="47"/>
    <x v="2"/>
    <s v="ERROR"/>
    <s v="OK"/>
  </r>
  <r>
    <s v="8aff68b9-047a-45ac-823f-a85abbb4263f"/>
    <x v="0"/>
    <x v="0"/>
    <d v="2025-09-07T00:00:00"/>
    <d v="2025-02-17T00:00:00"/>
    <n v="2158"/>
    <x v="1"/>
    <x v="3"/>
    <d v="2025-01-31T00:00:00"/>
    <s v="Unqualified"/>
    <x v="3"/>
    <s v="Completed"/>
    <s v="Facebook Ads"/>
    <n v="90"/>
    <x v="0"/>
    <s v="ERROR"/>
    <s v="ERROR"/>
  </r>
  <r>
    <s v="9aed7f65-add7-40f8-81b0-231031c25cbc"/>
    <x v="2"/>
    <x v="0"/>
    <d v="2025-02-27T00:00:00"/>
    <d v="2025-03-14T00:00:00"/>
    <n v="4567"/>
    <x v="3"/>
    <x v="1"/>
    <d v="2025-04-02T00:00:00"/>
    <s v="Unqualified"/>
    <x v="1"/>
    <s v="Completed"/>
    <s v="Google Ads Campaign"/>
    <n v="85"/>
    <x v="1"/>
    <s v="OK"/>
    <s v="OK"/>
  </r>
  <r>
    <s v="bff1adc4-a35d-4c49-9de2-48d465ebede1"/>
    <x v="0"/>
    <x v="1"/>
    <d v="2025-05-16T00:00:00"/>
    <d v="2025-04-14T00:00:00"/>
    <n v="0"/>
    <x v="2"/>
    <x v="3"/>
    <s v="NA"/>
    <s v="Qualified"/>
    <x v="1"/>
    <s v="Contacted"/>
    <s v="Referral Program"/>
    <n v="94"/>
    <x v="1"/>
    <s v="ERROR"/>
    <s v="OK"/>
  </r>
  <r>
    <s v="2bf2a3b3-efd0-4e70-831b-d4830aa1ea8a"/>
    <x v="1"/>
    <x v="1"/>
    <d v="2025-09-15T00:00:00"/>
    <d v="2025-06-18T00:00:00"/>
    <n v="0"/>
    <x v="3"/>
    <x v="3"/>
    <s v="NA"/>
    <s v="Qualified"/>
    <x v="2"/>
    <s v="Pending Follow-up"/>
    <s v="Facebook Ads"/>
    <n v="32"/>
    <x v="0"/>
    <s v="ERROR"/>
    <s v="OK"/>
  </r>
  <r>
    <s v="702715ab-50f1-4854-9f33-5f2a71773112"/>
    <x v="1"/>
    <x v="1"/>
    <d v="2025-07-24T00:00:00"/>
    <d v="2025-02-03T00:00:00"/>
    <n v="0"/>
    <x v="2"/>
    <x v="2"/>
    <s v="NA"/>
    <s v="Qualified"/>
    <x v="3"/>
    <s v="Contacted"/>
    <s v="Facebook Ads"/>
    <n v="79"/>
    <x v="0"/>
    <s v="ERROR"/>
    <s v="OK"/>
  </r>
  <r>
    <s v="115f7abd-d43c-41c4-af81-27757176e47d"/>
    <x v="3"/>
    <x v="1"/>
    <d v="2025-08-21T00:00:00"/>
    <d v="2025-01-29T00:00:00"/>
    <n v="0"/>
    <x v="2"/>
    <x v="2"/>
    <s v="NA"/>
    <s v="Qualified"/>
    <x v="1"/>
    <s v="No Follow-up"/>
    <s v="Referral Program"/>
    <n v="43"/>
    <x v="1"/>
    <s v="ERROR"/>
    <s v="OK"/>
  </r>
  <r>
    <s v="3bdb9069-c2ec-4eab-981a-4197abd7864d"/>
    <x v="0"/>
    <x v="0"/>
    <d v="2025-10-06T00:00:00"/>
    <d v="2025-08-01T00:00:00"/>
    <n v="4972"/>
    <x v="0"/>
    <x v="0"/>
    <d v="2025-09-25T00:00:00"/>
    <s v="Unqualified"/>
    <x v="1"/>
    <s v="Completed"/>
    <s v="Facebook Ads"/>
    <n v="30"/>
    <x v="0"/>
    <s v="ERROR"/>
    <s v="ERROR"/>
  </r>
  <r>
    <s v="271c8137-971d-46b0-96ed-e8210feb8334"/>
    <x v="3"/>
    <x v="2"/>
    <d v="2025-06-21T00:00:00"/>
    <d v="2025-06-21T00:00:00"/>
    <n v="0"/>
    <x v="2"/>
    <x v="1"/>
    <s v="NA"/>
    <s v="Qualified"/>
    <x v="2"/>
    <s v="Follow-up Scheduled"/>
    <s v="Facebook Ads"/>
    <n v="83"/>
    <x v="0"/>
    <s v="OK"/>
    <s v="OK"/>
  </r>
  <r>
    <s v="f51637b0-f0bc-4f7f-9e92-724a2d492920"/>
    <x v="3"/>
    <x v="2"/>
    <d v="2025-04-03T00:00:00"/>
    <d v="2025-04-03T00:00:00"/>
    <n v="0"/>
    <x v="2"/>
    <x v="3"/>
    <s v="NA"/>
    <s v="Qualified"/>
    <x v="2"/>
    <s v="Pending Follow-up"/>
    <s v="Referral Program"/>
    <n v="69"/>
    <x v="2"/>
    <s v="OK"/>
    <s v="OK"/>
  </r>
  <r>
    <s v="e708caf7-6b13-4a84-9891-94163c3be57e"/>
    <x v="1"/>
    <x v="2"/>
    <d v="2025-02-04T00:00:00"/>
    <d v="2025-02-04T00:00:00"/>
    <n v="0"/>
    <x v="3"/>
    <x v="2"/>
    <s v="NA"/>
    <s v="Qualified"/>
    <x v="2"/>
    <s v="Follow-up Scheduled"/>
    <s v="Organic Search"/>
    <n v="58"/>
    <x v="1"/>
    <s v="OK"/>
    <s v="OK"/>
  </r>
  <r>
    <s v="d0ca85ec-5778-4fe8-9444-55ccbe3fd37e"/>
    <x v="0"/>
    <x v="1"/>
    <d v="2025-10-02T00:00:00"/>
    <d v="2025-08-24T00:00:00"/>
    <n v="0"/>
    <x v="0"/>
    <x v="3"/>
    <s v="NA"/>
    <s v="Unqualified"/>
    <x v="2"/>
    <s v="Follow-up Scheduled"/>
    <s v="Facebook Ads"/>
    <n v="89"/>
    <x v="1"/>
    <s v="ERROR"/>
    <s v="OK"/>
  </r>
  <r>
    <s v="23afc889-0872-4019-bea0-faec3eb8660e"/>
    <x v="2"/>
    <x v="1"/>
    <d v="2025-06-14T00:00:00"/>
    <d v="2025-05-31T00:00:00"/>
    <n v="0"/>
    <x v="3"/>
    <x v="3"/>
    <s v="NA"/>
    <s v="Unqualified"/>
    <x v="0"/>
    <s v="Contacted"/>
    <s v="Referral Program"/>
    <n v="46"/>
    <x v="1"/>
    <s v="ERROR"/>
    <s v="OK"/>
  </r>
  <r>
    <s v="4ad09754-60b9-443c-a269-bc17d7272153"/>
    <x v="2"/>
    <x v="2"/>
    <d v="2025-07-21T00:00:00"/>
    <d v="2025-07-21T00:00:00"/>
    <n v="0"/>
    <x v="0"/>
    <x v="0"/>
    <s v="NA"/>
    <s v="Qualified"/>
    <x v="3"/>
    <s v="No Follow-up"/>
    <s v="Google Ads Campaign"/>
    <n v="77"/>
    <x v="0"/>
    <s v="OK"/>
    <s v="OK"/>
  </r>
  <r>
    <s v="32784d7f-c349-4972-a906-d767b7d781ee"/>
    <x v="0"/>
    <x v="0"/>
    <d v="2025-06-27T00:00:00"/>
    <d v="2025-05-09T00:00:00"/>
    <n v="3940"/>
    <x v="3"/>
    <x v="3"/>
    <d v="2025-04-13T00:00:00"/>
    <s v="Qualified"/>
    <x v="2"/>
    <s v="Completed"/>
    <s v="Referral Program"/>
    <n v="83"/>
    <x v="0"/>
    <s v="ERROR"/>
    <s v="ERROR"/>
  </r>
  <r>
    <s v="b5f778cb-1037-4641-891d-7054ca0ab9d6"/>
    <x v="2"/>
    <x v="0"/>
    <d v="2025-05-11T00:00:00"/>
    <d v="2025-09-16T00:00:00"/>
    <n v="3948"/>
    <x v="2"/>
    <x v="0"/>
    <d v="2025-08-17T00:00:00"/>
    <s v="Unqualified"/>
    <x v="1"/>
    <s v="Contacted"/>
    <s v="Organic Search"/>
    <n v="60"/>
    <x v="1"/>
    <s v="OK"/>
    <s v="OK"/>
  </r>
  <r>
    <s v="d715714e-e196-4316-9647-8806357dafdd"/>
    <x v="1"/>
    <x v="0"/>
    <d v="2025-03-15T00:00:00"/>
    <d v="2025-04-04T00:00:00"/>
    <n v="4027"/>
    <x v="2"/>
    <x v="2"/>
    <d v="2025-08-29T00:00:00"/>
    <s v="Unqualified"/>
    <x v="1"/>
    <s v="Completed"/>
    <s v="Google Ads Campaign"/>
    <n v="32"/>
    <x v="0"/>
    <s v="OK"/>
    <s v="OK"/>
  </r>
  <r>
    <s v="d24f5c5c-6b03-4e58-b917-d428720feca7"/>
    <x v="2"/>
    <x v="0"/>
    <d v="2025-02-18T00:00:00"/>
    <d v="2025-10-06T00:00:00"/>
    <n v="3638"/>
    <x v="1"/>
    <x v="2"/>
    <d v="2025-04-20T00:00:00"/>
    <s v="Qualified"/>
    <x v="3"/>
    <s v="No Follow-up"/>
    <s v="Facebook Ads"/>
    <n v="46"/>
    <x v="2"/>
    <s v="OK"/>
    <s v="OK"/>
  </r>
  <r>
    <s v="5bdd4c63-7497-4628-a99f-ec8cf79a0377"/>
    <x v="0"/>
    <x v="2"/>
    <d v="2025-08-20T00:00:00"/>
    <d v="2025-08-20T00:00:00"/>
    <n v="0"/>
    <x v="3"/>
    <x v="3"/>
    <s v="NA"/>
    <s v="Qualified"/>
    <x v="1"/>
    <s v="Follow-up Scheduled"/>
    <s v="Facebook Ads"/>
    <n v="75"/>
    <x v="2"/>
    <s v="OK"/>
    <s v="OK"/>
  </r>
  <r>
    <s v="d0d99d90-52e4-4989-a276-c10838bd1918"/>
    <x v="3"/>
    <x v="2"/>
    <d v="2025-10-16T00:00:00"/>
    <d v="2025-10-16T00:00:00"/>
    <n v="0"/>
    <x v="0"/>
    <x v="2"/>
    <s v="NA"/>
    <s v="Unqualified"/>
    <x v="1"/>
    <s v="Follow-up Scheduled"/>
    <s v="Organic Search"/>
    <n v="94"/>
    <x v="0"/>
    <s v="OK"/>
    <s v="OK"/>
  </r>
  <r>
    <s v="40496de0-e5fe-4949-ba29-5911f90d036b"/>
    <x v="0"/>
    <x v="0"/>
    <d v="2025-01-17T00:00:00"/>
    <d v="2025-07-20T00:00:00"/>
    <n v="3442"/>
    <x v="1"/>
    <x v="2"/>
    <d v="2025-09-20T00:00:00"/>
    <s v="Unqualified"/>
    <x v="0"/>
    <s v="Completed"/>
    <s v="Organic Search"/>
    <n v="51"/>
    <x v="1"/>
    <s v="OK"/>
    <s v="OK"/>
  </r>
  <r>
    <s v="39773e65-d091-412f-b0c7-cd209cca0beb"/>
    <x v="1"/>
    <x v="1"/>
    <d v="2025-02-01T00:00:00"/>
    <d v="2025-05-03T00:00:00"/>
    <n v="0"/>
    <x v="1"/>
    <x v="2"/>
    <s v="NA"/>
    <s v="Unqualified"/>
    <x v="1"/>
    <s v="No Follow-up"/>
    <s v="Facebook Ads"/>
    <n v="87"/>
    <x v="1"/>
    <s v="OK"/>
    <s v="OK"/>
  </r>
  <r>
    <s v="51f16662-ad49-425d-8f68-ab58da6f9896"/>
    <x v="2"/>
    <x v="1"/>
    <d v="2025-01-08T00:00:00"/>
    <d v="2025-03-22T00:00:00"/>
    <n v="0"/>
    <x v="1"/>
    <x v="1"/>
    <s v="NA"/>
    <s v="Qualified"/>
    <x v="0"/>
    <s v="Contacted"/>
    <s v="Organic Search"/>
    <n v="92"/>
    <x v="2"/>
    <s v="OK"/>
    <s v="OK"/>
  </r>
  <r>
    <s v="3256af96-143c-46a5-b453-9c54bac2d5e3"/>
    <x v="1"/>
    <x v="2"/>
    <d v="2025-01-24T00:00:00"/>
    <d v="2025-01-24T00:00:00"/>
    <n v="0"/>
    <x v="3"/>
    <x v="3"/>
    <s v="NA"/>
    <s v="Qualified"/>
    <x v="3"/>
    <s v="No Follow-up"/>
    <s v="Organic Search"/>
    <n v="61"/>
    <x v="1"/>
    <s v="OK"/>
    <s v="OK"/>
  </r>
  <r>
    <s v="0cf725c4-27dd-4f2b-9aeb-fcf3add652ac"/>
    <x v="3"/>
    <x v="0"/>
    <d v="2025-03-31T00:00:00"/>
    <d v="2025-09-14T00:00:00"/>
    <n v="4905"/>
    <x v="0"/>
    <x v="0"/>
    <d v="2025-06-06T00:00:00"/>
    <s v="Qualified"/>
    <x v="3"/>
    <s v="No Follow-up"/>
    <s v="Facebook Ads"/>
    <n v="32"/>
    <x v="2"/>
    <s v="OK"/>
    <s v="OK"/>
  </r>
  <r>
    <s v="a7074d19-8d24-46c8-9fe0-c92580988020"/>
    <x v="3"/>
    <x v="2"/>
    <d v="2025-05-22T00:00:00"/>
    <d v="2025-05-22T00:00:00"/>
    <n v="0"/>
    <x v="3"/>
    <x v="2"/>
    <s v="NA"/>
    <s v="Unqualified"/>
    <x v="3"/>
    <s v="No Follow-up"/>
    <s v="Referral Program"/>
    <n v="34"/>
    <x v="2"/>
    <s v="OK"/>
    <s v="OK"/>
  </r>
  <r>
    <s v="f9fa8c97-83cb-4145-960a-8da9b1d5b65f"/>
    <x v="0"/>
    <x v="1"/>
    <d v="2025-04-10T00:00:00"/>
    <d v="2025-09-17T00:00:00"/>
    <n v="0"/>
    <x v="3"/>
    <x v="3"/>
    <s v="NA"/>
    <s v="Qualified"/>
    <x v="3"/>
    <s v="Contacted"/>
    <s v="Facebook Ads"/>
    <n v="70"/>
    <x v="1"/>
    <s v="OK"/>
    <s v="OK"/>
  </r>
  <r>
    <s v="4a688be6-8040-407f-b4c2-b46907346feb"/>
    <x v="0"/>
    <x v="0"/>
    <d v="2025-08-14T00:00:00"/>
    <d v="2025-02-25T00:00:00"/>
    <n v="4734"/>
    <x v="1"/>
    <x v="0"/>
    <d v="2025-03-13T00:00:00"/>
    <s v="Unqualified"/>
    <x v="2"/>
    <s v="Contacted"/>
    <s v="Referral Program"/>
    <n v="60"/>
    <x v="0"/>
    <s v="ERROR"/>
    <s v="ERROR"/>
  </r>
  <r>
    <s v="c6ac3765-7362-4c5b-919d-ed90677237fb"/>
    <x v="2"/>
    <x v="0"/>
    <d v="2025-01-23T00:00:00"/>
    <d v="2025-09-09T00:00:00"/>
    <n v="4296"/>
    <x v="3"/>
    <x v="2"/>
    <d v="2025-01-15T00:00:00"/>
    <s v="Qualified"/>
    <x v="0"/>
    <s v="No Follow-up"/>
    <s v="Referral Program"/>
    <n v="79"/>
    <x v="0"/>
    <s v="OK"/>
    <s v="ERROR"/>
  </r>
  <r>
    <s v="e9d2da49-30e6-486c-825b-24a210698cc7"/>
    <x v="3"/>
    <x v="1"/>
    <d v="2025-05-18T00:00:00"/>
    <d v="2025-02-27T00:00:00"/>
    <n v="0"/>
    <x v="2"/>
    <x v="2"/>
    <s v="NA"/>
    <s v="Qualified"/>
    <x v="0"/>
    <s v="No Follow-up"/>
    <s v="Referral Program"/>
    <n v="80"/>
    <x v="0"/>
    <s v="ERROR"/>
    <s v="OK"/>
  </r>
  <r>
    <s v="84bd8789-9e63-4cd3-b225-e1d1d2c70237"/>
    <x v="3"/>
    <x v="1"/>
    <d v="2025-02-18T00:00:00"/>
    <d v="2025-06-03T00:00:00"/>
    <n v="0"/>
    <x v="3"/>
    <x v="1"/>
    <s v="NA"/>
    <s v="Qualified"/>
    <x v="0"/>
    <s v="Contacted"/>
    <s v="Google Ads Campaign"/>
    <n v="91"/>
    <x v="0"/>
    <s v="OK"/>
    <s v="OK"/>
  </r>
  <r>
    <s v="c4ca3024-d968-4310-8376-356a672d7407"/>
    <x v="3"/>
    <x v="1"/>
    <d v="2025-10-09T00:00:00"/>
    <d v="2025-09-07T00:00:00"/>
    <n v="0"/>
    <x v="3"/>
    <x v="0"/>
    <s v="NA"/>
    <s v="Unqualified"/>
    <x v="3"/>
    <s v="Contacted"/>
    <s v="Google Ads Campaign"/>
    <n v="60"/>
    <x v="1"/>
    <s v="ERROR"/>
    <s v="OK"/>
  </r>
  <r>
    <s v="0131e0b7-242b-4fe7-b407-c96a2ec27b51"/>
    <x v="0"/>
    <x v="0"/>
    <d v="2025-06-28T00:00:00"/>
    <d v="2025-02-06T00:00:00"/>
    <n v="2690"/>
    <x v="1"/>
    <x v="3"/>
    <d v="2025-04-13T00:00:00"/>
    <s v="Unqualified"/>
    <x v="1"/>
    <s v="Contacted"/>
    <s v="Referral Program"/>
    <n v="64"/>
    <x v="2"/>
    <s v="ERROR"/>
    <s v="ERROR"/>
  </r>
  <r>
    <s v="246c0cdc-8535-49af-84f3-f7e04a4472d5"/>
    <x v="2"/>
    <x v="2"/>
    <d v="2025-03-20T00:00:00"/>
    <d v="2025-03-20T00:00:00"/>
    <n v="0"/>
    <x v="2"/>
    <x v="2"/>
    <s v="NA"/>
    <s v="Qualified"/>
    <x v="3"/>
    <s v="Follow-up Scheduled"/>
    <s v="Facebook Ads"/>
    <n v="31"/>
    <x v="0"/>
    <s v="OK"/>
    <s v="OK"/>
  </r>
  <r>
    <s v="39980f23-dfa7-43ac-a586-8bd148edfafe"/>
    <x v="3"/>
    <x v="0"/>
    <d v="2025-04-02T00:00:00"/>
    <d v="2025-01-15T00:00:00"/>
    <n v="3502"/>
    <x v="0"/>
    <x v="0"/>
    <d v="2025-07-06T00:00:00"/>
    <s v="Unqualified"/>
    <x v="3"/>
    <s v="Contacted"/>
    <s v="Facebook Ads"/>
    <n v="61"/>
    <x v="2"/>
    <s v="ERROR"/>
    <s v="OK"/>
  </r>
  <r>
    <s v="9034ea9e-fd7e-4b95-90bc-d58607900225"/>
    <x v="2"/>
    <x v="2"/>
    <d v="2025-02-07T00:00:00"/>
    <d v="2025-02-07T00:00:00"/>
    <n v="0"/>
    <x v="3"/>
    <x v="2"/>
    <s v="NA"/>
    <s v="Unqualified"/>
    <x v="3"/>
    <s v="Follow-up Scheduled"/>
    <s v="Organic Search"/>
    <n v="93"/>
    <x v="2"/>
    <s v="OK"/>
    <s v="OK"/>
  </r>
  <r>
    <s v="af232fb9-c0df-469b-be49-05869ce1ab0f"/>
    <x v="0"/>
    <x v="0"/>
    <d v="2025-07-11T00:00:00"/>
    <d v="2025-05-04T00:00:00"/>
    <n v="2117"/>
    <x v="2"/>
    <x v="1"/>
    <d v="2025-01-07T00:00:00"/>
    <s v="Unqualified"/>
    <x v="1"/>
    <s v="Completed"/>
    <s v="Organic Search"/>
    <n v="41"/>
    <x v="0"/>
    <s v="ERROR"/>
    <s v="ERROR"/>
  </r>
  <r>
    <s v="ab6f68cd-2a88-4602-85ff-ee1a3731f5aa"/>
    <x v="2"/>
    <x v="0"/>
    <d v="2025-07-16T00:00:00"/>
    <d v="2025-05-18T00:00:00"/>
    <n v="3234"/>
    <x v="3"/>
    <x v="3"/>
    <d v="2025-07-24T00:00:00"/>
    <s v="Qualified"/>
    <x v="2"/>
    <s v="Completed"/>
    <s v="Google Ads Campaign"/>
    <n v="34"/>
    <x v="1"/>
    <s v="ERROR"/>
    <s v="OK"/>
  </r>
  <r>
    <s v="7b97efff-a6c2-4249-a6b6-4fa0305bd98c"/>
    <x v="2"/>
    <x v="2"/>
    <d v="2025-06-28T00:00:00"/>
    <d v="2025-06-28T00:00:00"/>
    <n v="0"/>
    <x v="2"/>
    <x v="1"/>
    <s v="NA"/>
    <s v="Qualified"/>
    <x v="1"/>
    <s v="No Follow-up"/>
    <s v="Referral Program"/>
    <n v="87"/>
    <x v="1"/>
    <s v="OK"/>
    <s v="OK"/>
  </r>
  <r>
    <s v="8c81f59d-cb23-4163-8a7e-3066b6037ec3"/>
    <x v="1"/>
    <x v="1"/>
    <d v="2025-06-13T00:00:00"/>
    <d v="2025-04-27T00:00:00"/>
    <n v="0"/>
    <x v="3"/>
    <x v="1"/>
    <s v="NA"/>
    <s v="Unqualified"/>
    <x v="2"/>
    <s v="No Follow-up"/>
    <s v="Google Ads Campaign"/>
    <n v="94"/>
    <x v="2"/>
    <s v="ERROR"/>
    <s v="OK"/>
  </r>
  <r>
    <s v="6533dcc4-e2a7-4fe9-89cc-b1b83a9f8a36"/>
    <x v="2"/>
    <x v="0"/>
    <d v="2025-04-07T00:00:00"/>
    <d v="2025-05-24T00:00:00"/>
    <n v="2449"/>
    <x v="2"/>
    <x v="1"/>
    <d v="2025-08-12T00:00:00"/>
    <s v="Qualified"/>
    <x v="1"/>
    <s v="Completed"/>
    <s v="Organic Search"/>
    <n v="64"/>
    <x v="0"/>
    <s v="OK"/>
    <s v="OK"/>
  </r>
  <r>
    <s v="98d55742-37c6-4390-87ec-617de63be054"/>
    <x v="3"/>
    <x v="0"/>
    <d v="2025-09-24T00:00:00"/>
    <d v="2025-02-27T00:00:00"/>
    <n v="2657"/>
    <x v="0"/>
    <x v="1"/>
    <d v="2025-05-10T00:00:00"/>
    <s v="Unqualified"/>
    <x v="3"/>
    <s v="Contacted"/>
    <s v="Google Ads Campaign"/>
    <n v="64"/>
    <x v="2"/>
    <s v="ERROR"/>
    <s v="ERROR"/>
  </r>
  <r>
    <s v="7b8974a4-e7f2-443c-96ae-3a6898702ab4"/>
    <x v="0"/>
    <x v="2"/>
    <d v="2025-01-22T00:00:00"/>
    <d v="2025-01-22T00:00:00"/>
    <n v="0"/>
    <x v="0"/>
    <x v="2"/>
    <s v="NA"/>
    <s v="Qualified"/>
    <x v="2"/>
    <s v="Pending Follow-up"/>
    <s v="Google Ads Campaign"/>
    <n v="33"/>
    <x v="0"/>
    <s v="OK"/>
    <s v="OK"/>
  </r>
  <r>
    <s v="08363d09-5176-4fa9-a2aa-10f6f1d11d2d"/>
    <x v="1"/>
    <x v="2"/>
    <d v="2025-07-21T00:00:00"/>
    <d v="2025-07-21T00:00:00"/>
    <n v="0"/>
    <x v="3"/>
    <x v="2"/>
    <s v="NA"/>
    <s v="Qualified"/>
    <x v="1"/>
    <s v="Contacted"/>
    <s v="Organic Search"/>
    <n v="53"/>
    <x v="0"/>
    <s v="OK"/>
    <s v="OK"/>
  </r>
  <r>
    <s v="e1fbcbcd-c9c7-4442-b678-91f18651598a"/>
    <x v="3"/>
    <x v="0"/>
    <d v="2025-09-29T00:00:00"/>
    <d v="2025-07-10T00:00:00"/>
    <n v="3529"/>
    <x v="3"/>
    <x v="1"/>
    <d v="2025-04-09T00:00:00"/>
    <s v="Qualified"/>
    <x v="2"/>
    <s v="Contacted"/>
    <s v="Google Ads Campaign"/>
    <n v="38"/>
    <x v="2"/>
    <s v="ERROR"/>
    <s v="ERROR"/>
  </r>
  <r>
    <s v="ebe23c0d-50af-443c-8487-576057e50f21"/>
    <x v="1"/>
    <x v="2"/>
    <d v="2025-10-13T00:00:00"/>
    <d v="2025-10-13T00:00:00"/>
    <n v="0"/>
    <x v="1"/>
    <x v="0"/>
    <s v="NA"/>
    <s v="Unqualified"/>
    <x v="3"/>
    <s v="Pending Follow-up"/>
    <s v="Referral Program"/>
    <n v="76"/>
    <x v="2"/>
    <s v="OK"/>
    <s v="OK"/>
  </r>
  <r>
    <s v="36b866d6-2c80-4ea7-8533-0f99cf660f37"/>
    <x v="3"/>
    <x v="0"/>
    <d v="2025-07-28T00:00:00"/>
    <d v="2025-03-31T00:00:00"/>
    <n v="4422"/>
    <x v="0"/>
    <x v="2"/>
    <d v="2025-07-31T00:00:00"/>
    <s v="Unqualified"/>
    <x v="0"/>
    <s v="Completed"/>
    <s v="Referral Program"/>
    <n v="40"/>
    <x v="2"/>
    <s v="ERROR"/>
    <s v="OK"/>
  </r>
  <r>
    <s v="8038ed2e-ba32-4256-9eb3-c52efc300ea1"/>
    <x v="3"/>
    <x v="1"/>
    <d v="2025-09-19T00:00:00"/>
    <d v="2025-03-02T00:00:00"/>
    <n v="0"/>
    <x v="1"/>
    <x v="3"/>
    <s v="NA"/>
    <s v="Unqualified"/>
    <x v="2"/>
    <s v="Pending Follow-up"/>
    <s v="Google Ads Campaign"/>
    <n v="35"/>
    <x v="2"/>
    <s v="ERROR"/>
    <s v="OK"/>
  </r>
  <r>
    <s v="e1dcc406-21a7-4228-a1a7-6793075425dc"/>
    <x v="3"/>
    <x v="1"/>
    <d v="2025-04-28T00:00:00"/>
    <d v="2025-06-15T00:00:00"/>
    <n v="0"/>
    <x v="2"/>
    <x v="3"/>
    <s v="NA"/>
    <s v="Qualified"/>
    <x v="3"/>
    <s v="Follow-up Scheduled"/>
    <s v="Facebook Ads"/>
    <n v="87"/>
    <x v="0"/>
    <s v="OK"/>
    <s v="OK"/>
  </r>
  <r>
    <s v="7b44c3bc-baf9-4199-bf12-b51f44816f04"/>
    <x v="0"/>
    <x v="0"/>
    <d v="2025-01-18T00:00:00"/>
    <d v="2025-01-03T00:00:00"/>
    <n v="4336"/>
    <x v="0"/>
    <x v="3"/>
    <d v="2025-07-22T00:00:00"/>
    <s v="Qualified"/>
    <x v="3"/>
    <s v="No Follow-up"/>
    <s v="Facebook Ads"/>
    <n v="41"/>
    <x v="1"/>
    <s v="ERROR"/>
    <s v="OK"/>
  </r>
  <r>
    <s v="f1acbda2-2db3-47ac-b773-178df0dcd8e0"/>
    <x v="0"/>
    <x v="2"/>
    <d v="2025-03-07T00:00:00"/>
    <d v="2025-03-07T00:00:00"/>
    <n v="0"/>
    <x v="0"/>
    <x v="3"/>
    <s v="NA"/>
    <s v="Unqualified"/>
    <x v="2"/>
    <s v="No Follow-up"/>
    <s v="Google Ads Campaign"/>
    <n v="91"/>
    <x v="0"/>
    <s v="OK"/>
    <s v="OK"/>
  </r>
  <r>
    <s v="8416ace1-8f82-4a96-9504-49cdd6e0fa36"/>
    <x v="1"/>
    <x v="2"/>
    <d v="2025-10-09T00:00:00"/>
    <d v="2025-10-09T00:00:00"/>
    <n v="0"/>
    <x v="1"/>
    <x v="1"/>
    <s v="NA"/>
    <s v="Qualified"/>
    <x v="3"/>
    <s v="Follow-up Scheduled"/>
    <s v="Google Ads Campaign"/>
    <n v="47"/>
    <x v="0"/>
    <s v="OK"/>
    <s v="OK"/>
  </r>
  <r>
    <s v="529ddaf1-1376-4a6c-9a2e-b3343b9034cd"/>
    <x v="0"/>
    <x v="2"/>
    <d v="2025-05-10T00:00:00"/>
    <d v="2025-05-10T00:00:00"/>
    <n v="0"/>
    <x v="0"/>
    <x v="0"/>
    <s v="NA"/>
    <s v="Unqualified"/>
    <x v="0"/>
    <s v="Follow-up Scheduled"/>
    <s v="Referral Program"/>
    <n v="91"/>
    <x v="1"/>
    <s v="OK"/>
    <s v="OK"/>
  </r>
  <r>
    <s v="12e94d87-181f-4aaf-9b93-3340256fbef0"/>
    <x v="0"/>
    <x v="1"/>
    <d v="2025-05-04T00:00:00"/>
    <d v="2025-01-31T00:00:00"/>
    <n v="0"/>
    <x v="1"/>
    <x v="0"/>
    <s v="NA"/>
    <s v="Qualified"/>
    <x v="3"/>
    <s v="Follow-up Scheduled"/>
    <s v="Organic Search"/>
    <n v="69"/>
    <x v="1"/>
    <s v="ERROR"/>
    <s v="OK"/>
  </r>
  <r>
    <s v="29586a21-1b14-4400-8464-58108cdade64"/>
    <x v="0"/>
    <x v="0"/>
    <d v="2025-06-27T00:00:00"/>
    <d v="2025-10-14T00:00:00"/>
    <n v="3031"/>
    <x v="3"/>
    <x v="0"/>
    <d v="2025-04-01T00:00:00"/>
    <s v="Qualified"/>
    <x v="3"/>
    <s v="No Follow-up"/>
    <s v="Organic Search"/>
    <n v="44"/>
    <x v="0"/>
    <s v="OK"/>
    <s v="ERROR"/>
  </r>
  <r>
    <s v="82628e5c-4996-4376-b68f-d70d87bed6af"/>
    <x v="1"/>
    <x v="2"/>
    <d v="2025-09-04T00:00:00"/>
    <d v="2025-09-04T00:00:00"/>
    <n v="0"/>
    <x v="1"/>
    <x v="3"/>
    <s v="NA"/>
    <s v="Unqualified"/>
    <x v="2"/>
    <s v="Follow-up Scheduled"/>
    <s v="Organic Search"/>
    <n v="50"/>
    <x v="1"/>
    <s v="OK"/>
    <s v="OK"/>
  </r>
  <r>
    <s v="da33a5a3-e819-4e89-b306-e8478112c265"/>
    <x v="0"/>
    <x v="2"/>
    <d v="2025-05-12T00:00:00"/>
    <d v="2025-05-12T00:00:00"/>
    <n v="0"/>
    <x v="2"/>
    <x v="0"/>
    <s v="NA"/>
    <s v="Unqualified"/>
    <x v="0"/>
    <s v="No Follow-up"/>
    <s v="Organic Search"/>
    <n v="31"/>
    <x v="0"/>
    <s v="OK"/>
    <s v="OK"/>
  </r>
  <r>
    <s v="192f26b8-bf85-46a1-a5d7-6ee8a98e1541"/>
    <x v="3"/>
    <x v="1"/>
    <d v="2025-06-06T00:00:00"/>
    <d v="2025-03-11T00:00:00"/>
    <n v="0"/>
    <x v="3"/>
    <x v="0"/>
    <s v="NA"/>
    <s v="Qualified"/>
    <x v="0"/>
    <s v="Follow-up Scheduled"/>
    <s v="Google Ads Campaign"/>
    <n v="91"/>
    <x v="1"/>
    <s v="ERROR"/>
    <s v="OK"/>
  </r>
  <r>
    <s v="fdcdd052-845c-43c7-aa8b-3145ed543306"/>
    <x v="1"/>
    <x v="0"/>
    <d v="2025-09-19T00:00:00"/>
    <d v="2025-02-09T00:00:00"/>
    <n v="3988"/>
    <x v="1"/>
    <x v="2"/>
    <d v="2025-10-10T00:00:00"/>
    <s v="Qualified"/>
    <x v="3"/>
    <s v="Contacted"/>
    <s v="Facebook Ads"/>
    <n v="62"/>
    <x v="2"/>
    <s v="ERROR"/>
    <s v="OK"/>
  </r>
  <r>
    <s v="30419034-5962-4b4a-a4ae-4a490079a43f"/>
    <x v="2"/>
    <x v="2"/>
    <d v="2025-01-06T00:00:00"/>
    <d v="2025-01-06T00:00:00"/>
    <n v="0"/>
    <x v="2"/>
    <x v="3"/>
    <s v="NA"/>
    <s v="Qualified"/>
    <x v="1"/>
    <s v="Pending Follow-up"/>
    <s v="Organic Search"/>
    <n v="40"/>
    <x v="2"/>
    <s v="OK"/>
    <s v="OK"/>
  </r>
  <r>
    <s v="91f4778f-ee0f-4c97-9395-6e0b9969028d"/>
    <x v="1"/>
    <x v="0"/>
    <d v="2025-07-12T00:00:00"/>
    <d v="2025-01-10T00:00:00"/>
    <n v="3651"/>
    <x v="0"/>
    <x v="1"/>
    <d v="2025-09-22T00:00:00"/>
    <s v="Unqualified"/>
    <x v="0"/>
    <s v="Completed"/>
    <s v="Referral Program"/>
    <n v="35"/>
    <x v="0"/>
    <s v="ERROR"/>
    <s v="OK"/>
  </r>
  <r>
    <s v="035dd3e0-a631-451a-933d-f3acdaf4cf27"/>
    <x v="2"/>
    <x v="1"/>
    <d v="2025-07-24T00:00:00"/>
    <d v="2025-03-21T00:00:00"/>
    <n v="0"/>
    <x v="3"/>
    <x v="2"/>
    <s v="NA"/>
    <s v="Qualified"/>
    <x v="1"/>
    <s v="No Follow-up"/>
    <s v="Organic Search"/>
    <n v="48"/>
    <x v="1"/>
    <s v="ERROR"/>
    <s v="OK"/>
  </r>
  <r>
    <s v="42b18dbf-a66b-42f5-b864-77df174b6c8c"/>
    <x v="0"/>
    <x v="0"/>
    <d v="2025-05-23T00:00:00"/>
    <d v="2025-07-09T00:00:00"/>
    <n v="4172"/>
    <x v="2"/>
    <x v="1"/>
    <d v="2025-07-18T00:00:00"/>
    <s v="Unqualified"/>
    <x v="0"/>
    <s v="No Follow-up"/>
    <s v="Organic Search"/>
    <n v="46"/>
    <x v="2"/>
    <s v="OK"/>
    <s v="OK"/>
  </r>
  <r>
    <s v="ab5a9a9a-6c59-460e-8cf3-09677ed34ed4"/>
    <x v="1"/>
    <x v="0"/>
    <d v="2025-04-07T00:00:00"/>
    <d v="2025-07-10T00:00:00"/>
    <n v="3922"/>
    <x v="1"/>
    <x v="3"/>
    <d v="2025-07-03T00:00:00"/>
    <s v="Unqualified"/>
    <x v="0"/>
    <s v="No Follow-up"/>
    <s v="Facebook Ads"/>
    <n v="87"/>
    <x v="2"/>
    <s v="OK"/>
    <s v="OK"/>
  </r>
  <r>
    <s v="3f317a26-ac87-43a8-bcdd-03e06e074927"/>
    <x v="2"/>
    <x v="0"/>
    <d v="2025-06-03T00:00:00"/>
    <d v="2025-02-07T00:00:00"/>
    <n v="3459"/>
    <x v="3"/>
    <x v="3"/>
    <d v="2025-03-25T00:00:00"/>
    <s v="Qualified"/>
    <x v="2"/>
    <s v="Completed"/>
    <s v="Referral Program"/>
    <n v="49"/>
    <x v="1"/>
    <s v="ERROR"/>
    <s v="ERROR"/>
  </r>
  <r>
    <s v="b2911b52-971e-48be-bc9e-b52f913c93ab"/>
    <x v="0"/>
    <x v="1"/>
    <d v="2025-09-06T00:00:00"/>
    <d v="2025-03-31T00:00:00"/>
    <n v="0"/>
    <x v="1"/>
    <x v="3"/>
    <s v="NA"/>
    <s v="Unqualified"/>
    <x v="3"/>
    <s v="No Follow-up"/>
    <s v="Google Ads Campaign"/>
    <n v="94"/>
    <x v="0"/>
    <s v="ERROR"/>
    <s v="OK"/>
  </r>
  <r>
    <s v="43b6e025-3ab3-4cf4-a18e-af422a02f1de"/>
    <x v="1"/>
    <x v="2"/>
    <d v="2025-03-13T00:00:00"/>
    <d v="2025-03-13T00:00:00"/>
    <n v="0"/>
    <x v="1"/>
    <x v="0"/>
    <s v="NA"/>
    <s v="Qualified"/>
    <x v="3"/>
    <s v="Follow-up Scheduled"/>
    <s v="Referral Program"/>
    <n v="87"/>
    <x v="0"/>
    <s v="OK"/>
    <s v="OK"/>
  </r>
  <r>
    <s v="15de7a1c-4a58-4fdc-9ace-c5439f3bf798"/>
    <x v="1"/>
    <x v="1"/>
    <d v="2025-01-11T00:00:00"/>
    <d v="2025-05-07T00:00:00"/>
    <n v="0"/>
    <x v="0"/>
    <x v="2"/>
    <s v="NA"/>
    <s v="Qualified"/>
    <x v="1"/>
    <s v="Follow-up Scheduled"/>
    <s v="Organic Search"/>
    <n v="67"/>
    <x v="0"/>
    <s v="OK"/>
    <s v="OK"/>
  </r>
  <r>
    <s v="f7833a81-c19c-41c8-97c7-d6b3bcd4f1e4"/>
    <x v="0"/>
    <x v="2"/>
    <d v="2025-06-27T00:00:00"/>
    <d v="2025-06-27T00:00:00"/>
    <n v="0"/>
    <x v="1"/>
    <x v="0"/>
    <s v="NA"/>
    <s v="Unqualified"/>
    <x v="1"/>
    <s v="Contacted"/>
    <s v="Organic Search"/>
    <n v="89"/>
    <x v="1"/>
    <s v="OK"/>
    <s v="OK"/>
  </r>
  <r>
    <s v="0cbc0030-f70f-48fe-a352-53aa85c67bc1"/>
    <x v="2"/>
    <x v="2"/>
    <d v="2025-08-20T00:00:00"/>
    <d v="2025-08-20T00:00:00"/>
    <n v="0"/>
    <x v="0"/>
    <x v="1"/>
    <s v="NA"/>
    <s v="Unqualified"/>
    <x v="0"/>
    <s v="Contacted"/>
    <s v="Google Ads Campaign"/>
    <n v="59"/>
    <x v="0"/>
    <s v="OK"/>
    <s v="OK"/>
  </r>
  <r>
    <s v="7d0f25d3-b438-4c9f-868f-3fdd2254692d"/>
    <x v="0"/>
    <x v="2"/>
    <d v="2025-08-19T00:00:00"/>
    <d v="2025-08-19T00:00:00"/>
    <n v="0"/>
    <x v="0"/>
    <x v="1"/>
    <s v="NA"/>
    <s v="Qualified"/>
    <x v="2"/>
    <s v="No Follow-up"/>
    <s v="Organic Search"/>
    <n v="59"/>
    <x v="1"/>
    <s v="OK"/>
    <s v="OK"/>
  </r>
  <r>
    <s v="f17d4508-5214-4b0e-a5fb-d043932a7b82"/>
    <x v="3"/>
    <x v="1"/>
    <d v="2025-09-15T00:00:00"/>
    <d v="2025-09-28T00:00:00"/>
    <n v="0"/>
    <x v="3"/>
    <x v="2"/>
    <s v="NA"/>
    <s v="Qualified"/>
    <x v="2"/>
    <s v="Contacted"/>
    <s v="Google Ads Campaign"/>
    <n v="44"/>
    <x v="2"/>
    <s v="OK"/>
    <s v="OK"/>
  </r>
  <r>
    <s v="affd4dc5-b435-434d-85ce-90df03ef34b2"/>
    <x v="2"/>
    <x v="1"/>
    <d v="2025-05-25T00:00:00"/>
    <d v="2025-07-25T00:00:00"/>
    <n v="0"/>
    <x v="2"/>
    <x v="1"/>
    <s v="NA"/>
    <s v="Qualified"/>
    <x v="3"/>
    <s v="Pending Follow-up"/>
    <s v="Referral Program"/>
    <n v="42"/>
    <x v="2"/>
    <s v="OK"/>
    <s v="OK"/>
  </r>
  <r>
    <s v="462bd94f-2e30-43fa-a657-3dd1a12b6a14"/>
    <x v="1"/>
    <x v="1"/>
    <d v="2025-05-27T00:00:00"/>
    <d v="2025-09-11T00:00:00"/>
    <n v="0"/>
    <x v="1"/>
    <x v="0"/>
    <s v="NA"/>
    <s v="Unqualified"/>
    <x v="2"/>
    <s v="No Follow-up"/>
    <s v="Organic Search"/>
    <n v="50"/>
    <x v="1"/>
    <s v="OK"/>
    <s v="OK"/>
  </r>
  <r>
    <s v="2a08270c-f517-487e-aec1-352369998643"/>
    <x v="2"/>
    <x v="2"/>
    <d v="2025-01-30T00:00:00"/>
    <d v="2025-01-30T00:00:00"/>
    <n v="0"/>
    <x v="3"/>
    <x v="0"/>
    <s v="NA"/>
    <s v="Qualified"/>
    <x v="1"/>
    <s v="No Follow-up"/>
    <s v="Organic Search"/>
    <n v="87"/>
    <x v="2"/>
    <s v="OK"/>
    <s v="OK"/>
  </r>
  <r>
    <s v="081fc11b-0f63-4e42-a28e-c4d2058b5dfb"/>
    <x v="0"/>
    <x v="0"/>
    <d v="2025-03-22T00:00:00"/>
    <d v="2025-06-24T00:00:00"/>
    <n v="4991"/>
    <x v="0"/>
    <x v="3"/>
    <d v="2025-02-07T00:00:00"/>
    <s v="Unqualified"/>
    <x v="1"/>
    <s v="Completed"/>
    <s v="Facebook Ads"/>
    <n v="75"/>
    <x v="1"/>
    <s v="OK"/>
    <s v="ERROR"/>
  </r>
  <r>
    <s v="d55e66ba-418b-4c03-a933-4d6f786f92ab"/>
    <x v="0"/>
    <x v="1"/>
    <d v="2025-05-15T00:00:00"/>
    <d v="2025-04-17T00:00:00"/>
    <n v="0"/>
    <x v="0"/>
    <x v="3"/>
    <s v="NA"/>
    <s v="Unqualified"/>
    <x v="2"/>
    <s v="Follow-up Scheduled"/>
    <s v="Facebook Ads"/>
    <n v="38"/>
    <x v="1"/>
    <s v="ERROR"/>
    <s v="OK"/>
  </r>
  <r>
    <s v="8c7f5cf3-673e-40d5-ae65-556bdea800ec"/>
    <x v="2"/>
    <x v="1"/>
    <d v="2025-09-04T00:00:00"/>
    <d v="2025-04-27T00:00:00"/>
    <n v="0"/>
    <x v="2"/>
    <x v="3"/>
    <s v="NA"/>
    <s v="Unqualified"/>
    <x v="1"/>
    <s v="Contacted"/>
    <s v="Google Ads Campaign"/>
    <n v="44"/>
    <x v="0"/>
    <s v="ERROR"/>
    <s v="OK"/>
  </r>
  <r>
    <s v="2f2d757a-21a2-4458-9b84-65b92fc21127"/>
    <x v="0"/>
    <x v="1"/>
    <d v="2025-06-02T00:00:00"/>
    <d v="2025-06-10T00:00:00"/>
    <n v="0"/>
    <x v="3"/>
    <x v="1"/>
    <s v="NA"/>
    <s v="Qualified"/>
    <x v="0"/>
    <s v="Contacted"/>
    <s v="Google Ads Campaign"/>
    <n v="64"/>
    <x v="0"/>
    <s v="OK"/>
    <s v="OK"/>
  </r>
  <r>
    <s v="5c984a87-2059-4f4c-ac45-69c6c95978cf"/>
    <x v="2"/>
    <x v="1"/>
    <d v="2025-09-25T00:00:00"/>
    <d v="2025-09-16T00:00:00"/>
    <n v="0"/>
    <x v="1"/>
    <x v="0"/>
    <s v="NA"/>
    <s v="Unqualified"/>
    <x v="3"/>
    <s v="No Follow-up"/>
    <s v="Facebook Ads"/>
    <n v="33"/>
    <x v="2"/>
    <s v="ERROR"/>
    <s v="OK"/>
  </r>
  <r>
    <s v="dda14775-a632-4c2c-82bf-d0aa58e61ceb"/>
    <x v="0"/>
    <x v="1"/>
    <d v="2025-03-24T00:00:00"/>
    <d v="2025-10-06T00:00:00"/>
    <n v="0"/>
    <x v="0"/>
    <x v="1"/>
    <s v="NA"/>
    <s v="Qualified"/>
    <x v="1"/>
    <s v="Pending Follow-up"/>
    <s v="Referral Program"/>
    <n v="40"/>
    <x v="2"/>
    <s v="OK"/>
    <s v="OK"/>
  </r>
  <r>
    <s v="f36662c9-34f5-4b5b-823f-166d57ffaae4"/>
    <x v="1"/>
    <x v="1"/>
    <d v="2025-06-07T00:00:00"/>
    <d v="2025-04-12T00:00:00"/>
    <n v="0"/>
    <x v="0"/>
    <x v="2"/>
    <s v="NA"/>
    <s v="Qualified"/>
    <x v="2"/>
    <s v="Contacted"/>
    <s v="Organic Search"/>
    <n v="91"/>
    <x v="0"/>
    <s v="ERROR"/>
    <s v="OK"/>
  </r>
  <r>
    <s v="3027b670-5226-45db-8525-eb97232bf8b9"/>
    <x v="2"/>
    <x v="2"/>
    <d v="2025-03-28T00:00:00"/>
    <d v="2025-03-28T00:00:00"/>
    <n v="0"/>
    <x v="1"/>
    <x v="1"/>
    <s v="NA"/>
    <s v="Unqualified"/>
    <x v="2"/>
    <s v="Follow-up Scheduled"/>
    <s v="Referral Program"/>
    <n v="59"/>
    <x v="2"/>
    <s v="OK"/>
    <s v="OK"/>
  </r>
  <r>
    <s v="c0c37eca-10d0-4480-8611-282da9e1ec29"/>
    <x v="0"/>
    <x v="1"/>
    <d v="2025-09-26T00:00:00"/>
    <d v="2025-04-13T00:00:00"/>
    <n v="0"/>
    <x v="0"/>
    <x v="1"/>
    <s v="NA"/>
    <s v="Unqualified"/>
    <x v="2"/>
    <s v="Pending Follow-up"/>
    <s v="Facebook Ads"/>
    <n v="78"/>
    <x v="0"/>
    <s v="ERROR"/>
    <s v="OK"/>
  </r>
  <r>
    <s v="7faaf245-7c7b-4e77-8d5e-b88dc79bf29d"/>
    <x v="2"/>
    <x v="1"/>
    <d v="2025-06-17T00:00:00"/>
    <d v="2025-09-13T00:00:00"/>
    <n v="0"/>
    <x v="1"/>
    <x v="1"/>
    <s v="NA"/>
    <s v="Unqualified"/>
    <x v="2"/>
    <s v="Contacted"/>
    <s v="Facebook Ads"/>
    <n v="33"/>
    <x v="2"/>
    <s v="OK"/>
    <s v="OK"/>
  </r>
  <r>
    <s v="6cbd3557-7056-45ef-a84b-3788f27681f4"/>
    <x v="2"/>
    <x v="2"/>
    <d v="2025-07-23T00:00:00"/>
    <d v="2025-07-23T00:00:00"/>
    <n v="0"/>
    <x v="0"/>
    <x v="0"/>
    <s v="NA"/>
    <s v="Qualified"/>
    <x v="0"/>
    <s v="Contacted"/>
    <s v="Facebook Ads"/>
    <n v="75"/>
    <x v="0"/>
    <s v="OK"/>
    <s v="OK"/>
  </r>
  <r>
    <s v="97edc3b3-0b13-4ef8-8a7a-f78ea8fd34fa"/>
    <x v="1"/>
    <x v="1"/>
    <d v="2025-05-10T00:00:00"/>
    <d v="2025-08-15T00:00:00"/>
    <n v="0"/>
    <x v="2"/>
    <x v="3"/>
    <s v="NA"/>
    <s v="Qualified"/>
    <x v="1"/>
    <s v="Contacted"/>
    <s v="Facebook Ads"/>
    <n v="65"/>
    <x v="0"/>
    <s v="OK"/>
    <s v="OK"/>
  </r>
  <r>
    <s v="7c9a7315-067e-4374-b32d-b0c26f3fb688"/>
    <x v="2"/>
    <x v="2"/>
    <d v="2025-10-11T00:00:00"/>
    <d v="2025-10-11T00:00:00"/>
    <n v="0"/>
    <x v="3"/>
    <x v="2"/>
    <s v="NA"/>
    <s v="Unqualified"/>
    <x v="2"/>
    <s v="Follow-up Scheduled"/>
    <s v="Google Ads Campaign"/>
    <n v="57"/>
    <x v="1"/>
    <s v="OK"/>
    <s v="OK"/>
  </r>
  <r>
    <s v="93186520-e565-49ec-ba04-5d04d292eb21"/>
    <x v="0"/>
    <x v="2"/>
    <d v="2025-06-30T00:00:00"/>
    <d v="2025-06-30T00:00:00"/>
    <n v="0"/>
    <x v="1"/>
    <x v="3"/>
    <s v="NA"/>
    <s v="Qualified"/>
    <x v="2"/>
    <s v="No Follow-up"/>
    <s v="Organic Search"/>
    <n v="32"/>
    <x v="2"/>
    <s v="OK"/>
    <s v="OK"/>
  </r>
  <r>
    <s v="41d3f28a-46a7-4ac5-acd6-078612956fbb"/>
    <x v="3"/>
    <x v="1"/>
    <d v="2025-03-10T00:00:00"/>
    <d v="2025-10-04T00:00:00"/>
    <n v="0"/>
    <x v="3"/>
    <x v="2"/>
    <s v="NA"/>
    <s v="Qualified"/>
    <x v="0"/>
    <s v="Follow-up Scheduled"/>
    <s v="Facebook Ads"/>
    <n v="32"/>
    <x v="1"/>
    <s v="OK"/>
    <s v="OK"/>
  </r>
  <r>
    <s v="86d89028-eedd-4c90-9994-88d22079d0a3"/>
    <x v="1"/>
    <x v="1"/>
    <d v="2025-02-23T00:00:00"/>
    <d v="2025-02-09T00:00:00"/>
    <n v="0"/>
    <x v="1"/>
    <x v="3"/>
    <s v="NA"/>
    <s v="Unqualified"/>
    <x v="3"/>
    <s v="No Follow-up"/>
    <s v="Facebook Ads"/>
    <n v="53"/>
    <x v="0"/>
    <s v="ERROR"/>
    <s v="OK"/>
  </r>
  <r>
    <s v="32962577-b0da-4fb7-b151-f72578bacb46"/>
    <x v="2"/>
    <x v="2"/>
    <d v="2025-02-23T00:00:00"/>
    <d v="2025-02-23T00:00:00"/>
    <n v="0"/>
    <x v="2"/>
    <x v="0"/>
    <s v="NA"/>
    <s v="Unqualified"/>
    <x v="0"/>
    <s v="Pending Follow-up"/>
    <s v="Google Ads Campaign"/>
    <n v="72"/>
    <x v="2"/>
    <s v="OK"/>
    <s v="OK"/>
  </r>
  <r>
    <s v="3a916b44-662c-466c-ad76-f6531d09b33c"/>
    <x v="1"/>
    <x v="2"/>
    <d v="2025-01-05T00:00:00"/>
    <d v="2025-01-05T00:00:00"/>
    <n v="0"/>
    <x v="1"/>
    <x v="0"/>
    <s v="NA"/>
    <s v="Unqualified"/>
    <x v="3"/>
    <s v="Pending Follow-up"/>
    <s v="Facebook Ads"/>
    <n v="73"/>
    <x v="2"/>
    <s v="OK"/>
    <s v="OK"/>
  </r>
  <r>
    <s v="4c4f5517-0776-4b0f-a45f-bcbf4a0bc8f5"/>
    <x v="0"/>
    <x v="0"/>
    <d v="2025-08-13T00:00:00"/>
    <d v="2025-05-13T00:00:00"/>
    <n v="4225"/>
    <x v="1"/>
    <x v="2"/>
    <d v="2025-06-08T00:00:00"/>
    <s v="Unqualified"/>
    <x v="1"/>
    <s v="Completed"/>
    <s v="Referral Program"/>
    <n v="54"/>
    <x v="0"/>
    <s v="ERROR"/>
    <s v="ERROR"/>
  </r>
  <r>
    <s v="b458111c-0628-4749-88bb-cd683c47a47b"/>
    <x v="2"/>
    <x v="0"/>
    <d v="2025-08-07T00:00:00"/>
    <d v="2025-08-12T00:00:00"/>
    <n v="4008"/>
    <x v="1"/>
    <x v="3"/>
    <d v="2025-02-11T00:00:00"/>
    <s v="Qualified"/>
    <x v="2"/>
    <s v="Completed"/>
    <s v="Organic Search"/>
    <n v="92"/>
    <x v="0"/>
    <s v="OK"/>
    <s v="ERROR"/>
  </r>
  <r>
    <s v="99b4c691-fd17-42c9-b72c-4563aad42655"/>
    <x v="2"/>
    <x v="1"/>
    <d v="2025-05-09T00:00:00"/>
    <d v="2025-08-15T00:00:00"/>
    <n v="0"/>
    <x v="0"/>
    <x v="1"/>
    <s v="NA"/>
    <s v="Qualified"/>
    <x v="0"/>
    <s v="Pending Follow-up"/>
    <s v="Referral Program"/>
    <n v="61"/>
    <x v="2"/>
    <s v="OK"/>
    <s v="OK"/>
  </r>
  <r>
    <s v="55f3fd4f-1efe-450b-9819-3cf08fd3fce5"/>
    <x v="0"/>
    <x v="1"/>
    <d v="2025-09-04T00:00:00"/>
    <d v="2025-03-18T00:00:00"/>
    <n v="0"/>
    <x v="3"/>
    <x v="0"/>
    <s v="NA"/>
    <s v="Unqualified"/>
    <x v="1"/>
    <s v="Follow-up Scheduled"/>
    <s v="Referral Program"/>
    <n v="73"/>
    <x v="0"/>
    <s v="ERROR"/>
    <s v="OK"/>
  </r>
  <r>
    <s v="d656e07e-9e07-4bd9-807c-169371d50cde"/>
    <x v="1"/>
    <x v="0"/>
    <d v="2025-07-06T00:00:00"/>
    <d v="2025-05-24T00:00:00"/>
    <n v="2701"/>
    <x v="1"/>
    <x v="2"/>
    <d v="2025-09-30T00:00:00"/>
    <s v="Qualified"/>
    <x v="1"/>
    <s v="Completed"/>
    <s v="Facebook Ads"/>
    <n v="36"/>
    <x v="2"/>
    <s v="ERROR"/>
    <s v="OK"/>
  </r>
  <r>
    <s v="b1b10e1b-5da0-4142-abff-07feb0cf6c51"/>
    <x v="2"/>
    <x v="1"/>
    <d v="2025-08-14T00:00:00"/>
    <d v="2025-10-04T00:00:00"/>
    <n v="0"/>
    <x v="2"/>
    <x v="0"/>
    <s v="NA"/>
    <s v="Qualified"/>
    <x v="1"/>
    <s v="Follow-up Scheduled"/>
    <s v="Referral Program"/>
    <n v="68"/>
    <x v="1"/>
    <s v="OK"/>
    <s v="OK"/>
  </r>
  <r>
    <s v="acfa60e3-0721-4c03-aa44-dd790fdd56dd"/>
    <x v="0"/>
    <x v="0"/>
    <d v="2025-02-23T00:00:00"/>
    <d v="2025-05-28T00:00:00"/>
    <n v="4384"/>
    <x v="0"/>
    <x v="0"/>
    <d v="2025-08-02T00:00:00"/>
    <s v="Unqualified"/>
    <x v="1"/>
    <s v="No Follow-up"/>
    <s v="Organic Search"/>
    <n v="75"/>
    <x v="1"/>
    <s v="OK"/>
    <s v="OK"/>
  </r>
  <r>
    <s v="0b429a86-17f7-4807-8531-ab0bd737982c"/>
    <x v="2"/>
    <x v="0"/>
    <d v="2025-10-11T00:00:00"/>
    <d v="2025-06-09T00:00:00"/>
    <n v="3744"/>
    <x v="3"/>
    <x v="1"/>
    <d v="2025-03-21T00:00:00"/>
    <s v="Unqualified"/>
    <x v="3"/>
    <s v="Completed"/>
    <s v="Referral Program"/>
    <n v="46"/>
    <x v="2"/>
    <s v="ERROR"/>
    <s v="ERROR"/>
  </r>
  <r>
    <s v="9a3c7af7-f069-40ee-9717-2474c34834d3"/>
    <x v="3"/>
    <x v="2"/>
    <d v="2025-10-09T00:00:00"/>
    <d v="2025-10-09T00:00:00"/>
    <n v="0"/>
    <x v="3"/>
    <x v="0"/>
    <s v="NA"/>
    <s v="Qualified"/>
    <x v="0"/>
    <s v="Follow-up Scheduled"/>
    <s v="Organic Search"/>
    <n v="84"/>
    <x v="1"/>
    <s v="OK"/>
    <s v="OK"/>
  </r>
  <r>
    <s v="cb742cec-e38e-4b9a-8f46-f791f8a6dfff"/>
    <x v="3"/>
    <x v="0"/>
    <d v="2025-04-23T00:00:00"/>
    <d v="2025-07-15T00:00:00"/>
    <n v="2111"/>
    <x v="3"/>
    <x v="1"/>
    <d v="2025-09-10T00:00:00"/>
    <s v="Unqualified"/>
    <x v="1"/>
    <s v="Completed"/>
    <s v="Referral Program"/>
    <n v="52"/>
    <x v="0"/>
    <s v="OK"/>
    <s v="OK"/>
  </r>
  <r>
    <s v="f58f1839-c644-4d9e-b8b9-a5a5c07aecaf"/>
    <x v="2"/>
    <x v="1"/>
    <d v="2025-03-24T00:00:00"/>
    <d v="2025-05-03T00:00:00"/>
    <n v="0"/>
    <x v="1"/>
    <x v="0"/>
    <s v="NA"/>
    <s v="Unqualified"/>
    <x v="1"/>
    <s v="Contacted"/>
    <s v="Facebook Ads"/>
    <n v="50"/>
    <x v="2"/>
    <s v="OK"/>
    <s v="OK"/>
  </r>
  <r>
    <s v="b0fdba88-f66e-44a9-864e-7cd2af4784fe"/>
    <x v="3"/>
    <x v="1"/>
    <d v="2025-01-05T00:00:00"/>
    <d v="2025-01-18T00:00:00"/>
    <n v="0"/>
    <x v="1"/>
    <x v="0"/>
    <s v="NA"/>
    <s v="Qualified"/>
    <x v="1"/>
    <s v="Follow-up Scheduled"/>
    <s v="Organic Search"/>
    <n v="80"/>
    <x v="0"/>
    <s v="OK"/>
    <s v="OK"/>
  </r>
  <r>
    <s v="e6804d8f-e2c0-4627-b4be-8ceba00baabb"/>
    <x v="2"/>
    <x v="1"/>
    <d v="2025-03-08T00:00:00"/>
    <d v="2025-07-04T00:00:00"/>
    <n v="0"/>
    <x v="2"/>
    <x v="1"/>
    <s v="NA"/>
    <s v="Qualified"/>
    <x v="0"/>
    <s v="Pending Follow-up"/>
    <s v="Facebook Ads"/>
    <n v="56"/>
    <x v="0"/>
    <s v="OK"/>
    <s v="OK"/>
  </r>
  <r>
    <s v="d339145b-b06e-47d8-8034-6fd41321673e"/>
    <x v="0"/>
    <x v="1"/>
    <d v="2025-10-14T00:00:00"/>
    <d v="2025-08-11T00:00:00"/>
    <n v="0"/>
    <x v="0"/>
    <x v="0"/>
    <s v="NA"/>
    <s v="Unqualified"/>
    <x v="3"/>
    <s v="Contacted"/>
    <s v="Organic Search"/>
    <n v="94"/>
    <x v="2"/>
    <s v="ERROR"/>
    <s v="OK"/>
  </r>
  <r>
    <s v="22eb6dbc-cd76-4b18-980d-1b9606c606e7"/>
    <x v="3"/>
    <x v="0"/>
    <d v="2025-04-02T00:00:00"/>
    <d v="2025-06-09T00:00:00"/>
    <n v="4085"/>
    <x v="1"/>
    <x v="0"/>
    <d v="2025-04-28T00:00:00"/>
    <s v="Qualified"/>
    <x v="2"/>
    <s v="Contacted"/>
    <s v="Facebook Ads"/>
    <n v="59"/>
    <x v="2"/>
    <s v="OK"/>
    <s v="OK"/>
  </r>
  <r>
    <s v="21ecaefe-a0f9-4cc4-b144-88272f08fa2e"/>
    <x v="0"/>
    <x v="2"/>
    <d v="2025-06-11T00:00:00"/>
    <d v="2025-06-11T00:00:00"/>
    <n v="0"/>
    <x v="3"/>
    <x v="1"/>
    <s v="NA"/>
    <s v="Qualified"/>
    <x v="0"/>
    <s v="No Follow-up"/>
    <s v="Facebook Ads"/>
    <n v="60"/>
    <x v="2"/>
    <s v="OK"/>
    <s v="OK"/>
  </r>
  <r>
    <s v="355077e5-e6f8-4758-afce-f8e63208c968"/>
    <x v="2"/>
    <x v="1"/>
    <d v="2025-08-13T00:00:00"/>
    <d v="2025-06-23T00:00:00"/>
    <n v="0"/>
    <x v="0"/>
    <x v="3"/>
    <s v="NA"/>
    <s v="Qualified"/>
    <x v="0"/>
    <s v="Follow-up Scheduled"/>
    <s v="Organic Search"/>
    <n v="91"/>
    <x v="2"/>
    <s v="ERROR"/>
    <s v="OK"/>
  </r>
  <r>
    <s v="6d3b5ddf-2611-459f-86bb-18b9480688b9"/>
    <x v="3"/>
    <x v="0"/>
    <d v="2025-07-04T00:00:00"/>
    <d v="2025-01-10T00:00:00"/>
    <n v="4943"/>
    <x v="2"/>
    <x v="3"/>
    <d v="2025-08-08T00:00:00"/>
    <s v="Qualified"/>
    <x v="2"/>
    <s v="Contacted"/>
    <s v="Referral Program"/>
    <n v="61"/>
    <x v="0"/>
    <s v="ERROR"/>
    <s v="OK"/>
  </r>
  <r>
    <s v="2df1469c-1636-4ce1-8719-6f98f29a9b9f"/>
    <x v="2"/>
    <x v="0"/>
    <d v="2025-07-15T00:00:00"/>
    <d v="2025-07-28T00:00:00"/>
    <n v="4649"/>
    <x v="0"/>
    <x v="3"/>
    <d v="2025-01-15T00:00:00"/>
    <s v="Qualified"/>
    <x v="1"/>
    <s v="Completed"/>
    <s v="Google Ads Campaign"/>
    <n v="79"/>
    <x v="1"/>
    <s v="OK"/>
    <s v="ERROR"/>
  </r>
  <r>
    <s v="0e77889d-1e39-4404-99aa-e3b021ba7fd9"/>
    <x v="1"/>
    <x v="0"/>
    <d v="2025-08-08T00:00:00"/>
    <d v="2025-02-12T00:00:00"/>
    <n v="2417"/>
    <x v="2"/>
    <x v="1"/>
    <d v="2025-03-12T00:00:00"/>
    <s v="Unqualified"/>
    <x v="1"/>
    <s v="Completed"/>
    <s v="Facebook Ads"/>
    <n v="66"/>
    <x v="0"/>
    <s v="ERROR"/>
    <s v="ERROR"/>
  </r>
  <r>
    <s v="9219d17c-d4ed-46b9-bed6-42209209bfe0"/>
    <x v="0"/>
    <x v="1"/>
    <d v="2025-04-02T00:00:00"/>
    <d v="2025-08-20T00:00:00"/>
    <n v="0"/>
    <x v="0"/>
    <x v="3"/>
    <s v="NA"/>
    <s v="Unqualified"/>
    <x v="0"/>
    <s v="No Follow-up"/>
    <s v="Organic Search"/>
    <n v="30"/>
    <x v="2"/>
    <s v="OK"/>
    <s v="OK"/>
  </r>
  <r>
    <s v="d6d95564-edd9-4408-9d8d-bea00ea66975"/>
    <x v="1"/>
    <x v="1"/>
    <d v="2025-06-09T00:00:00"/>
    <d v="2025-03-23T00:00:00"/>
    <n v="0"/>
    <x v="3"/>
    <x v="0"/>
    <s v="NA"/>
    <s v="Unqualified"/>
    <x v="2"/>
    <s v="No Follow-up"/>
    <s v="Organic Search"/>
    <n v="39"/>
    <x v="2"/>
    <s v="ERROR"/>
    <s v="OK"/>
  </r>
  <r>
    <s v="4b2b5ecb-502e-432c-80e6-c2c701e9e288"/>
    <x v="1"/>
    <x v="0"/>
    <d v="2025-07-15T00:00:00"/>
    <d v="2025-08-12T00:00:00"/>
    <n v="2332"/>
    <x v="2"/>
    <x v="0"/>
    <d v="2025-10-14T00:00:00"/>
    <s v="Unqualified"/>
    <x v="0"/>
    <s v="No Follow-up"/>
    <s v="Google Ads Campaign"/>
    <n v="67"/>
    <x v="2"/>
    <s v="OK"/>
    <s v="OK"/>
  </r>
  <r>
    <s v="8201a42c-17ce-4f88-92be-1d0f3d6d9ff0"/>
    <x v="1"/>
    <x v="0"/>
    <d v="2025-04-28T00:00:00"/>
    <d v="2025-02-02T00:00:00"/>
    <n v="4438"/>
    <x v="1"/>
    <x v="3"/>
    <d v="2025-04-24T00:00:00"/>
    <s v="Qualified"/>
    <x v="3"/>
    <s v="Completed"/>
    <s v="Organic Search"/>
    <n v="44"/>
    <x v="1"/>
    <s v="ERROR"/>
    <s v="ERROR"/>
  </r>
  <r>
    <s v="5dc49df8-e823-4a56-b005-94cf03249719"/>
    <x v="1"/>
    <x v="0"/>
    <d v="2025-07-21T00:00:00"/>
    <d v="2025-06-29T00:00:00"/>
    <n v="3300"/>
    <x v="1"/>
    <x v="1"/>
    <d v="2025-04-25T00:00:00"/>
    <s v="Unqualified"/>
    <x v="0"/>
    <s v="Completed"/>
    <s v="Organic Search"/>
    <n v="58"/>
    <x v="0"/>
    <s v="ERROR"/>
    <s v="ERROR"/>
  </r>
  <r>
    <s v="d6b56eea-4fe8-446a-b39c-15f3b5b24c5e"/>
    <x v="3"/>
    <x v="2"/>
    <d v="2025-09-10T00:00:00"/>
    <d v="2025-09-10T00:00:00"/>
    <n v="0"/>
    <x v="0"/>
    <x v="3"/>
    <s v="NA"/>
    <s v="Unqualified"/>
    <x v="3"/>
    <s v="Pending Follow-up"/>
    <s v="Referral Program"/>
    <n v="58"/>
    <x v="0"/>
    <s v="OK"/>
    <s v="OK"/>
  </r>
  <r>
    <s v="5c73df2a-1608-4800-952b-a9adb0b5df4d"/>
    <x v="1"/>
    <x v="0"/>
    <d v="2025-07-06T00:00:00"/>
    <d v="2025-09-17T00:00:00"/>
    <n v="2284"/>
    <x v="2"/>
    <x v="3"/>
    <d v="2025-04-06T00:00:00"/>
    <s v="Qualified"/>
    <x v="0"/>
    <s v="Completed"/>
    <s v="Facebook Ads"/>
    <n v="33"/>
    <x v="0"/>
    <s v="OK"/>
    <s v="ERROR"/>
  </r>
  <r>
    <s v="bc80b0f3-8690-42f0-89d9-ffcbf7ad7908"/>
    <x v="1"/>
    <x v="1"/>
    <d v="2025-02-05T00:00:00"/>
    <d v="2025-07-19T00:00:00"/>
    <n v="0"/>
    <x v="1"/>
    <x v="3"/>
    <s v="NA"/>
    <s v="Qualified"/>
    <x v="2"/>
    <s v="Follow-up Scheduled"/>
    <s v="Organic Search"/>
    <n v="32"/>
    <x v="2"/>
    <s v="OK"/>
    <s v="OK"/>
  </r>
  <r>
    <s v="0fe09c51-deeb-475e-83cf-9fead5925489"/>
    <x v="1"/>
    <x v="1"/>
    <d v="2025-03-14T00:00:00"/>
    <d v="2025-05-12T00:00:00"/>
    <n v="0"/>
    <x v="0"/>
    <x v="3"/>
    <s v="NA"/>
    <s v="Qualified"/>
    <x v="3"/>
    <s v="No Follow-up"/>
    <s v="Organic Search"/>
    <n v="36"/>
    <x v="2"/>
    <s v="OK"/>
    <s v="OK"/>
  </r>
  <r>
    <s v="7e60cf59-dd94-4718-bf7d-e68b17acd442"/>
    <x v="0"/>
    <x v="1"/>
    <d v="2025-02-03T00:00:00"/>
    <d v="2025-01-07T00:00:00"/>
    <n v="0"/>
    <x v="3"/>
    <x v="0"/>
    <s v="NA"/>
    <s v="Unqualified"/>
    <x v="1"/>
    <s v="Pending Follow-up"/>
    <s v="Google Ads Campaign"/>
    <n v="78"/>
    <x v="2"/>
    <s v="ERROR"/>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370B8-9F2A-42BA-AFB1-381040DDBAFB}"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17">
    <pivotField dataField="1" showAll="0"/>
    <pivotField showAll="0">
      <items count="5">
        <item x="3"/>
        <item x="0"/>
        <item x="1"/>
        <item x="2"/>
        <item t="default"/>
      </items>
    </pivotField>
    <pivotField showAll="0">
      <items count="4">
        <item x="1"/>
        <item x="0"/>
        <item x="2"/>
        <item t="default"/>
      </items>
    </pivotField>
    <pivotField showAll="0"/>
    <pivotField showAll="0"/>
    <pivotField showAll="0"/>
    <pivotField axis="axisRow" showAll="0">
      <items count="5">
        <item x="2"/>
        <item x="1"/>
        <item x="3"/>
        <item x="0"/>
        <item t="default"/>
      </items>
    </pivotField>
    <pivotField showAll="0"/>
    <pivotField showAll="0"/>
    <pivotField showAll="0"/>
    <pivotField showAll="0">
      <items count="5">
        <item x="1"/>
        <item x="2"/>
        <item x="3"/>
        <item x="0"/>
        <item t="default"/>
      </items>
    </pivotField>
    <pivotField showAll="0"/>
    <pivotField showAll="0"/>
    <pivotField showAll="0"/>
    <pivotField showAll="0">
      <items count="4">
        <item x="2"/>
        <item x="0"/>
        <item x="1"/>
        <item t="default"/>
      </items>
    </pivotField>
    <pivotField showAll="0"/>
    <pivotField showAll="0"/>
  </pivotFields>
  <rowFields count="1">
    <field x="6"/>
  </rowFields>
  <rowItems count="5">
    <i>
      <x/>
    </i>
    <i>
      <x v="1"/>
    </i>
    <i>
      <x v="2"/>
    </i>
    <i>
      <x v="3"/>
    </i>
    <i t="grand">
      <x/>
    </i>
  </rowItems>
  <colItems count="1">
    <i/>
  </colItems>
  <dataFields count="1">
    <dataField name="Count of Lead ID" fld="0" subtotal="count"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0552C3-4769-4068-A195-F4C4E57BC771}" name="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Lead source">
  <location ref="G3:K9" firstHeaderRow="1" firstDataRow="2" firstDataCol="1"/>
  <pivotFields count="17">
    <pivotField dataField="1" showAll="0"/>
    <pivotField axis="axisRow" showAll="0">
      <items count="5">
        <item x="3"/>
        <item x="0"/>
        <item x="1"/>
        <item x="2"/>
        <item t="default"/>
      </items>
    </pivotField>
    <pivotField axis="axisCol" showAll="0">
      <items count="4">
        <item x="1"/>
        <item x="0"/>
        <item x="2"/>
        <item t="default"/>
      </items>
    </pivotField>
    <pivotField showAll="0"/>
    <pivotField showAll="0"/>
    <pivotField showAll="0"/>
    <pivotField showAll="0">
      <items count="5">
        <item x="2"/>
        <item x="1"/>
        <item x="3"/>
        <item x="0"/>
        <item t="default"/>
      </items>
    </pivotField>
    <pivotField showAll="0"/>
    <pivotField showAll="0"/>
    <pivotField showAll="0"/>
    <pivotField showAll="0">
      <items count="5">
        <item x="1"/>
        <item x="2"/>
        <item x="3"/>
        <item x="0"/>
        <item t="default"/>
      </items>
    </pivotField>
    <pivotField showAll="0"/>
    <pivotField showAll="0"/>
    <pivotField showAll="0"/>
    <pivotField showAll="0">
      <items count="4">
        <item x="2"/>
        <item x="0"/>
        <item x="1"/>
        <item t="default"/>
      </items>
    </pivotField>
    <pivotField showAll="0"/>
    <pivotField showAl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6">
    <chartFormat chart="4"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2">
          <reference field="4294967294" count="1" selected="0">
            <x v="0"/>
          </reference>
          <reference field="2" count="1" selected="0">
            <x v="1"/>
          </reference>
        </references>
      </pivotArea>
    </chartFormat>
    <chartFormat chart="8" format="5"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F5BDBD-DBE1-4078-A4F3-64BBC8DB90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W30" firstHeaderRow="1" firstDataRow="3" firstDataCol="1"/>
  <pivotFields count="17">
    <pivotField showAll="0"/>
    <pivotField showAll="0"/>
    <pivotField showAll="0"/>
    <pivotField showAll="0"/>
    <pivotField showAll="0"/>
    <pivotField dataField="1" showAll="0"/>
    <pivotField axis="axisRow" showAll="0">
      <items count="5">
        <item x="2"/>
        <item x="1"/>
        <item x="3"/>
        <item x="0"/>
        <item t="default"/>
      </items>
    </pivotField>
    <pivotField axis="axisCol" showAll="0">
      <items count="5">
        <item x="2"/>
        <item x="1"/>
        <item x="0"/>
        <item x="3"/>
        <item t="default"/>
      </items>
    </pivotField>
    <pivotField showAll="0"/>
    <pivotField showAll="0"/>
    <pivotField showAll="0"/>
    <pivotField showAll="0"/>
    <pivotField showAll="0"/>
    <pivotField showAll="0"/>
    <pivotField axis="axisCol" showAll="0">
      <items count="4">
        <item x="2"/>
        <item x="0"/>
        <item x="1"/>
        <item t="default"/>
      </items>
    </pivotField>
    <pivotField showAll="0"/>
    <pivotField showAll="0"/>
  </pivotFields>
  <rowFields count="1">
    <field x="6"/>
  </rowFields>
  <rowItems count="5">
    <i>
      <x/>
    </i>
    <i>
      <x v="1"/>
    </i>
    <i>
      <x v="2"/>
    </i>
    <i>
      <x v="3"/>
    </i>
    <i t="grand">
      <x/>
    </i>
  </rowItems>
  <colFields count="2">
    <field x="14"/>
    <field x="7"/>
  </colFields>
  <colItems count="16">
    <i>
      <x/>
      <x/>
    </i>
    <i r="1">
      <x v="1"/>
    </i>
    <i r="1">
      <x v="2"/>
    </i>
    <i r="1">
      <x v="3"/>
    </i>
    <i t="default">
      <x/>
    </i>
    <i>
      <x v="1"/>
      <x/>
    </i>
    <i r="1">
      <x v="1"/>
    </i>
    <i r="1">
      <x v="2"/>
    </i>
    <i r="1">
      <x v="3"/>
    </i>
    <i t="default">
      <x v="1"/>
    </i>
    <i>
      <x v="2"/>
      <x/>
    </i>
    <i r="1">
      <x v="1"/>
    </i>
    <i r="1">
      <x v="2"/>
    </i>
    <i r="1">
      <x v="3"/>
    </i>
    <i t="default">
      <x v="2"/>
    </i>
    <i t="grand">
      <x/>
    </i>
  </colItems>
  <dataFields count="1">
    <dataField name="Sum of Sales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F6ACAF-5DDC-495A-92B2-CEAE83EEC1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udent type">
  <location ref="A12:B16" firstHeaderRow="1" firstDataRow="1" firstDataCol="1"/>
  <pivotFields count="17">
    <pivotField dataField="1" showAll="0"/>
    <pivotField showAll="0">
      <items count="5">
        <item x="3"/>
        <item x="0"/>
        <item x="1"/>
        <item x="2"/>
        <item t="default"/>
      </items>
    </pivotField>
    <pivotField showAll="0">
      <items count="4">
        <item x="1"/>
        <item x="0"/>
        <item x="2"/>
        <item t="default"/>
      </items>
    </pivotField>
    <pivotField showAll="0"/>
    <pivotField showAll="0"/>
    <pivotField showAll="0"/>
    <pivotField showAll="0">
      <items count="5">
        <item x="2"/>
        <item x="1"/>
        <item x="3"/>
        <item x="0"/>
        <item t="default"/>
      </items>
    </pivotField>
    <pivotField showAll="0"/>
    <pivotField showAll="0"/>
    <pivotField showAll="0"/>
    <pivotField showAll="0">
      <items count="5">
        <item x="1"/>
        <item x="2"/>
        <item x="3"/>
        <item x="0"/>
        <item t="default"/>
      </items>
    </pivotField>
    <pivotField showAll="0"/>
    <pivotField showAll="0"/>
    <pivotField showAll="0"/>
    <pivotField axis="axisRow" showAll="0">
      <items count="4">
        <item x="2"/>
        <item x="0"/>
        <item x="1"/>
        <item t="default"/>
      </items>
    </pivotField>
    <pivotField showAll="0"/>
    <pivotField showAll="0"/>
  </pivotFields>
  <rowFields count="1">
    <field x="14"/>
  </rowFields>
  <rowItems count="4">
    <i>
      <x/>
    </i>
    <i>
      <x v="1"/>
    </i>
    <i>
      <x v="2"/>
    </i>
    <i t="grand">
      <x/>
    </i>
  </rowItems>
  <colItems count="1">
    <i/>
  </colItems>
  <dataFields count="1">
    <dataField name="Count of Lead ID" fld="0" subtotal="count" baseField="0" baseItem="0"/>
  </dataFields>
  <chartFormats count="6">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4" count="1" selected="0">
            <x v="0"/>
          </reference>
        </references>
      </pivotArea>
    </chartFormat>
    <chartFormat chart="6" format="3">
      <pivotArea type="data" outline="0" fieldPosition="0">
        <references count="2">
          <reference field="4294967294" count="1" selected="0">
            <x v="0"/>
          </reference>
          <reference field="14" count="1" selected="0">
            <x v="1"/>
          </reference>
        </references>
      </pivotArea>
    </chartFormat>
    <chartFormat chart="6"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A0C133-D65E-4720-82AE-FA9F441117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E29" firstHeaderRow="1" firstDataRow="2" firstDataCol="1"/>
  <pivotFields count="17">
    <pivotField dataField="1" showAll="0"/>
    <pivotField showAll="0">
      <items count="5">
        <item x="3"/>
        <item x="0"/>
        <item x="1"/>
        <item x="2"/>
        <item t="default"/>
      </items>
    </pivotField>
    <pivotField axis="axisCol" showAll="0">
      <items count="4">
        <item x="1"/>
        <item x="0"/>
        <item x="2"/>
        <item t="default"/>
      </items>
    </pivotField>
    <pivotField showAll="0"/>
    <pivotField showAll="0"/>
    <pivotField showAll="0"/>
    <pivotField showAll="0">
      <items count="5">
        <item x="2"/>
        <item x="1"/>
        <item x="3"/>
        <item x="0"/>
        <item t="default"/>
      </items>
    </pivotField>
    <pivotField showAll="0"/>
    <pivotField showAll="0"/>
    <pivotField showAll="0"/>
    <pivotField axis="axisRow" showAll="0">
      <items count="5">
        <item x="1"/>
        <item x="2"/>
        <item x="3"/>
        <item x="0"/>
        <item t="default"/>
      </items>
    </pivotField>
    <pivotField showAll="0"/>
    <pivotField showAll="0"/>
    <pivotField showAll="0"/>
    <pivotField showAll="0">
      <items count="4">
        <item x="2"/>
        <item x="0"/>
        <item x="1"/>
        <item t="default"/>
      </items>
    </pivotField>
    <pivotField showAll="0"/>
    <pivotField showAll="0"/>
  </pivotFields>
  <rowFields count="1">
    <field x="10"/>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3">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6EF9A-1D4E-4578-8C6E-EA7D0A6FAD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M3:N8" firstHeaderRow="1" firstDataRow="1" firstDataCol="1"/>
  <pivotFields count="17">
    <pivotField showAll="0"/>
    <pivotField showAll="0">
      <items count="5">
        <item x="3"/>
        <item x="0"/>
        <item x="1"/>
        <item x="2"/>
        <item t="default"/>
      </items>
    </pivotField>
    <pivotField showAll="0">
      <items count="4">
        <item x="1"/>
        <item x="0"/>
        <item x="2"/>
        <item t="default"/>
      </items>
    </pivotField>
    <pivotField showAll="0"/>
    <pivotField showAll="0"/>
    <pivotField dataField="1" showAll="0"/>
    <pivotField axis="axisRow" showAll="0">
      <items count="5">
        <item x="2"/>
        <item x="1"/>
        <item x="3"/>
        <item x="0"/>
        <item t="default"/>
      </items>
    </pivotField>
    <pivotField showAll="0"/>
    <pivotField showAll="0"/>
    <pivotField showAll="0"/>
    <pivotField showAll="0">
      <items count="5">
        <item x="1"/>
        <item x="2"/>
        <item x="3"/>
        <item x="0"/>
        <item t="default"/>
      </items>
    </pivotField>
    <pivotField showAll="0"/>
    <pivotField showAll="0"/>
    <pivotField showAll="0"/>
    <pivotField showAll="0">
      <items count="4">
        <item x="2"/>
        <item x="0"/>
        <item x="1"/>
        <item t="default"/>
      </items>
    </pivotField>
    <pivotField showAll="0"/>
    <pivotField showAll="0"/>
  </pivotFields>
  <rowFields count="1">
    <field x="6"/>
  </rowFields>
  <rowItems count="5">
    <i>
      <x/>
    </i>
    <i>
      <x v="1"/>
    </i>
    <i>
      <x v="2"/>
    </i>
    <i>
      <x v="3"/>
    </i>
    <i t="grand">
      <x/>
    </i>
  </rowItems>
  <colItems count="1">
    <i/>
  </colItems>
  <dataFields count="1">
    <dataField name="Sum of Sales Amount" fld="5" baseField="0" baseItem="0"/>
  </dataFields>
  <chartFormats count="5">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6" count="1" selected="0">
            <x v="0"/>
          </reference>
        </references>
      </pivotArea>
    </chartFormat>
    <chartFormat chart="12" format="3">
      <pivotArea type="data" outline="0" fieldPosition="0">
        <references count="2">
          <reference field="4294967294" count="1" selected="0">
            <x v="0"/>
          </reference>
          <reference field="6" count="1" selected="0">
            <x v="1"/>
          </reference>
        </references>
      </pivotArea>
    </chartFormat>
    <chartFormat chart="12" format="4">
      <pivotArea type="data" outline="0" fieldPosition="0">
        <references count="2">
          <reference field="4294967294" count="1" selected="0">
            <x v="0"/>
          </reference>
          <reference field="6" count="1" selected="0">
            <x v="2"/>
          </reference>
        </references>
      </pivotArea>
    </chartFormat>
    <chartFormat chart="12"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E06B42-10F5-4B0F-8CE1-0BB0A9675DCB}" name="sales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ales person">
  <location ref="D3:E8" firstHeaderRow="1" firstDataRow="1" firstDataCol="1"/>
  <pivotFields count="17">
    <pivotField showAll="0"/>
    <pivotField showAll="0">
      <items count="5">
        <item x="3"/>
        <item x="0"/>
        <item x="1"/>
        <item x="2"/>
        <item t="default"/>
      </items>
    </pivotField>
    <pivotField showAll="0">
      <items count="4">
        <item x="1"/>
        <item x="0"/>
        <item x="2"/>
        <item t="default"/>
      </items>
    </pivotField>
    <pivotField showAll="0"/>
    <pivotField showAll="0"/>
    <pivotField dataField="1" showAll="0"/>
    <pivotField showAll="0">
      <items count="5">
        <item x="2"/>
        <item x="1"/>
        <item x="3"/>
        <item x="0"/>
        <item t="default"/>
      </items>
    </pivotField>
    <pivotField axis="axisRow" showAll="0">
      <items count="5">
        <item x="2"/>
        <item x="1"/>
        <item x="0"/>
        <item x="3"/>
        <item t="default"/>
      </items>
    </pivotField>
    <pivotField showAll="0"/>
    <pivotField showAll="0"/>
    <pivotField showAll="0">
      <items count="5">
        <item x="1"/>
        <item x="2"/>
        <item x="3"/>
        <item x="0"/>
        <item t="default"/>
      </items>
    </pivotField>
    <pivotField showAll="0"/>
    <pivotField showAll="0"/>
    <pivotField showAll="0"/>
    <pivotField showAll="0">
      <items count="4">
        <item x="2"/>
        <item x="0"/>
        <item x="1"/>
        <item t="default"/>
      </items>
    </pivotField>
    <pivotField showAll="0"/>
    <pivotField showAll="0"/>
  </pivotFields>
  <rowFields count="1">
    <field x="7"/>
  </rowFields>
  <rowItems count="5">
    <i>
      <x/>
    </i>
    <i>
      <x v="1"/>
    </i>
    <i>
      <x v="2"/>
    </i>
    <i>
      <x v="3"/>
    </i>
    <i t="grand">
      <x/>
    </i>
  </rowItems>
  <colItems count="1">
    <i/>
  </colItems>
  <dataFields count="1">
    <dataField name="Sum of Sales Amount" fld="5" baseField="0" baseItem="0" numFmtId="166"/>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D5CC7B-E9A0-4CC8-860F-1145A743996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ad Status">
  <location ref="G12:H16" firstHeaderRow="1" firstDataRow="1" firstDataCol="1"/>
  <pivotFields count="17">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Lead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C23B27-0C3B-40EC-B82D-0B479A7FA1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3" firstHeaderRow="0" firstDataRow="1" firstDataCol="0"/>
  <pivotFields count="17">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Lead ID" fld="0" subtotal="count" baseField="0" baseItem="0"/>
    <dataField name="Sum of Sales Amount" fld="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B2A3C5-F232-4D69-A802-DF7DD6F2C651}" sourceName="Region">
  <pivotTables>
    <pivotTable tabId="3" name="Region"/>
    <pivotTable tabId="3" name="sales performance"/>
    <pivotTable tabId="3" name="source"/>
    <pivotTable tabId="3" name="PivotTable4"/>
    <pivotTable tabId="3" name="PivotTable7"/>
    <pivotTable tabId="3" name="PivotTable10"/>
  </pivotTables>
  <data>
    <tabular pivotCacheId="124467307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tatus1" xr10:uid="{B8217FEF-6C34-48AF-9356-C15F19DC141F}" sourceName="Lead Status">
  <pivotTables>
    <pivotTable tabId="3" name="Region"/>
    <pivotTable tabId="3" name="source"/>
    <pivotTable tabId="3" name="PivotTable4"/>
    <pivotTable tabId="3" name="PivotTable7"/>
    <pivotTable tabId="3" name="sales performance"/>
    <pivotTable tabId="3" name="PivotTable10"/>
  </pivotTables>
  <data>
    <tabular pivotCacheId="124467307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CDF4E2BB-1135-4D5F-A88A-3A343B0F6DF3}" sourceName="Lead Source">
  <pivotTables>
    <pivotTable tabId="3" name="Region"/>
    <pivotTable tabId="3" name="source"/>
    <pivotTable tabId="3" name="PivotTable4"/>
    <pivotTable tabId="3" name="PivotTable7"/>
    <pivotTable tabId="3" name="sales performance"/>
    <pivotTable tabId="3" name="PivotTable10"/>
  </pivotTables>
  <data>
    <tabular pivotCacheId="1244673073">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Type" xr10:uid="{EA5D30FF-FA30-41E6-992B-95632D9C91D4}" sourceName="Student Type">
  <pivotTables>
    <pivotTable tabId="3" name="source"/>
    <pivotTable tabId="3" name="PivotTable7"/>
    <pivotTable tabId="3" name="sales performance"/>
    <pivotTable tabId="3" name="PivotTable10"/>
    <pivotTable tabId="3" name="PivotTable4"/>
    <pivotTable tabId="3" name="Region"/>
  </pivotTables>
  <data>
    <tabular pivotCacheId="124467307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Type" xr10:uid="{D1475473-8059-4B8D-91F0-53E5B3FD607E}" sourceName="Course Type">
  <pivotTables>
    <pivotTable tabId="3" name="PivotTable7"/>
    <pivotTable tabId="3" name="PivotTable10"/>
    <pivotTable tabId="3" name="source"/>
    <pivotTable tabId="3" name="sales performance"/>
    <pivotTable tabId="3" name="Region"/>
    <pivotTable tabId="3" name="PivotTable4"/>
  </pivotTables>
  <data>
    <tabular pivotCacheId="124467307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25BA3CE-774F-482E-9FDA-15AE054A8FC0}" cache="Slicer_Region" caption="Region" rowHeight="209550"/>
  <slicer name="Lead Status 1" xr10:uid="{80DFC0E1-D96B-452F-9752-F3CFBB772F92}" cache="Slicer_Lead_Status1" caption="Lead Status" rowHeight="209550"/>
  <slicer name="Lead Source" xr10:uid="{98458D0A-F21B-4E75-884B-5921B9884235}" cache="Slicer_Lead_Source" caption="Lead Source" rowHeight="209550"/>
  <slicer name="Student Type" xr10:uid="{039A7D11-1768-4D15-9036-E6139E66D943}" cache="Slicer_Student_Type" caption="Student Type" rowHeight="209550"/>
  <slicer name="Course Type" xr10:uid="{33EDE0EA-F198-4A6A-AE26-CBF8DB42BCA0}" cache="Slicer_Course_Type" caption="Course Typ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E52215-4D07-4803-8900-F07F7A375ABD}" name="Table1" displayName="Table1" ref="A1:O501" totalsRowShown="0" headerRowDxfId="16" dataDxfId="15">
  <autoFilter ref="A1:O501" xr:uid="{BFE52215-4D07-4803-8900-F07F7A375ABD}"/>
  <tableColumns count="15">
    <tableColumn id="1" xr3:uid="{0E33B855-396A-4314-92FE-B9F529EEF880}" name="Lead ID" dataDxfId="14"/>
    <tableColumn id="2" xr3:uid="{10C27C58-D301-4651-8052-718311CFA697}" name="Lead Source" dataDxfId="13"/>
    <tableColumn id="3" xr3:uid="{EEA8FE87-8830-4FED-BD55-7FB1F3A9200C}" name="Lead Status" dataDxfId="12"/>
    <tableColumn id="4" xr3:uid="{E75BA8F2-1D54-45EB-954B-D566EB64B384}" name="Date of Lead Generation" dataDxfId="11"/>
    <tableColumn id="5" xr3:uid="{4F6BCB77-8CBF-4BC9-AB25-298F9A86DBAA}" name="Date of Last Contact" dataDxfId="10"/>
    <tableColumn id="6" xr3:uid="{FB689C45-1C05-410C-AD2D-77EBAB1DFFB7}" name="Sales Amount" dataDxfId="9"/>
    <tableColumn id="7" xr3:uid="{6D2C6595-2F9B-44E8-A325-5F7352F0F3E9}" name="Region" dataDxfId="8"/>
    <tableColumn id="8" xr3:uid="{5AB620C3-9B98-4EB1-9980-624DD15E205A}" name="Salesperson" dataDxfId="7"/>
    <tableColumn id="9" xr3:uid="{4673650C-612C-415C-9457-DFDF84CA6258}" name="Conversion Date" dataDxfId="6"/>
    <tableColumn id="10" xr3:uid="{7B971611-EF24-46E6-8665-D8482F2989D1}" name="Lead Qualification" dataDxfId="5"/>
    <tableColumn id="11" xr3:uid="{4E0017B3-2C5C-4012-92E2-2AA5C1F9A5C2}" name="Course Type" dataDxfId="4"/>
    <tableColumn id="12" xr3:uid="{EA569AAC-F644-4B28-8BA1-A262589F135A}" name="Follow-up Status" dataDxfId="3"/>
    <tableColumn id="13" xr3:uid="{7DFFE45E-B447-47D1-A1BA-CB46D656D240}" name="Marketing Campaign" dataDxfId="2"/>
    <tableColumn id="14" xr3:uid="{4AEB7780-337C-44F4-9A79-9A0CE5F56706}" name="Lead Score" dataDxfId="1"/>
    <tableColumn id="15" xr3:uid="{7A60C780-9A82-49AA-83EA-873BE6B7FB0C}" name="Student Typ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BCB7A7-6115-4468-99A6-A200D772EB03}" name="Table13" displayName="Table13" ref="A1:Q501" totalsRowShown="0" headerRowDxfId="35" dataDxfId="34">
  <autoFilter ref="A1:Q501" xr:uid="{D7BCB7A7-6115-4468-99A6-A200D772EB03}"/>
  <tableColumns count="17">
    <tableColumn id="1" xr3:uid="{AAB29EBD-42E2-4CE2-BC06-6B97C7B99D18}" name="Lead ID" dataDxfId="33"/>
    <tableColumn id="2" xr3:uid="{F909B2AF-D670-47D2-98D2-B3145895F318}" name="Lead Source" dataDxfId="32"/>
    <tableColumn id="3" xr3:uid="{ED7A5C68-3DDF-497D-9FB3-F85BFFB3C541}" name="Lead Status" dataDxfId="31"/>
    <tableColumn id="4" xr3:uid="{D09A469B-C270-40B4-A9CE-28CA18A49A54}" name="Date of Lead Generation" dataDxfId="30"/>
    <tableColumn id="5" xr3:uid="{85D12018-9DD3-4C34-9815-FC33651CDA83}" name="Date of Last Contact" dataDxfId="29"/>
    <tableColumn id="6" xr3:uid="{EB17B047-99E6-4FC3-A3F0-F0709EB0FB3E}" name="Sales Amount" dataDxfId="28"/>
    <tableColumn id="7" xr3:uid="{63516171-C184-4B35-824B-6C8B0DB78CE6}" name="Region" dataDxfId="27"/>
    <tableColumn id="8" xr3:uid="{BCB956DD-EA06-41E5-B18C-586DB1FE9787}" name="Salesperson" dataDxfId="26"/>
    <tableColumn id="9" xr3:uid="{D6300A08-BF70-48F9-B380-1A6ABB7C64B8}" name="Conversion Date" dataDxfId="25"/>
    <tableColumn id="10" xr3:uid="{9BE1FC72-25D0-4554-9BE6-D832A8E3C6E7}" name="Lead Qualification" dataDxfId="24"/>
    <tableColumn id="11" xr3:uid="{F1D7D2C9-088C-4A35-9D7A-AEBCBB158F90}" name="Course Type" dataDxfId="23"/>
    <tableColumn id="12" xr3:uid="{2BC8CB0E-4112-4F9A-A7BD-579AE6E6700C}" name="Follow-up Status" dataDxfId="22"/>
    <tableColumn id="13" xr3:uid="{8263DD80-8C6B-4617-B1FC-A5734D198F8C}" name="Marketing Campaign" dataDxfId="21"/>
    <tableColumn id="14" xr3:uid="{FAD29AB3-717E-4CCB-B7DC-3DED06AFD1C2}" name="Lead Score" dataDxfId="20"/>
    <tableColumn id="15" xr3:uid="{846CC574-4082-43AD-865D-DD3144D4F297}" name="Student Type" dataDxfId="19"/>
    <tableColumn id="16" xr3:uid="{15DE9797-9D74-4D13-850D-24FE3CF8C6A1}" name="date_validation" dataDxfId="18">
      <calculatedColumnFormula>IF(OR(D2&lt;E2,D2=E2), "Valid","not valid")</calculatedColumnFormula>
    </tableColumn>
    <tableColumn id="17" xr3:uid="{F98DFF60-9DDE-4532-BEE9-A3A67286DB3F}" name="date correction( first &amp; date of conversion date)" dataDxfId="17">
      <calculatedColumnFormula>IF(OR(D2 &lt;I2,D2=I2),"Valid","Not valid")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Q632"/>
  <sheetViews>
    <sheetView topLeftCell="C1" workbookViewId="0">
      <pane ySplit="1" topLeftCell="A3" activePane="bottomLeft" state="frozen"/>
      <selection pane="bottomLeft" activeCell="G19" sqref="G19"/>
    </sheetView>
  </sheetViews>
  <sheetFormatPr defaultColWidth="12.6640625" defaultRowHeight="15.75" customHeight="1"/>
  <cols>
    <col min="1" max="1" width="50.109375" customWidth="1"/>
    <col min="2" max="2" width="15.109375" customWidth="1"/>
    <col min="3" max="3" width="14.33203125" customWidth="1"/>
    <col min="4" max="4" width="26.44140625" customWidth="1"/>
    <col min="5" max="5" width="22.44140625" customWidth="1"/>
    <col min="6" max="6" width="16.44140625" customWidth="1"/>
    <col min="8" max="8" width="15" customWidth="1"/>
    <col min="9" max="9" width="19.6640625" customWidth="1"/>
    <col min="10" max="10" width="20.33203125" customWidth="1"/>
    <col min="11" max="11" width="15.33203125" customWidth="1"/>
    <col min="12" max="12" width="19.109375" customWidth="1"/>
    <col min="13" max="13" width="22.77734375" customWidth="1"/>
    <col min="14" max="14" width="13.88671875" customWidth="1"/>
    <col min="15" max="15" width="15.88671875" customWidth="1"/>
  </cols>
  <sheetData>
    <row r="1" spans="1:17" ht="13.8">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7" ht="13.8">
      <c r="A2" s="1" t="s">
        <v>15</v>
      </c>
      <c r="B2" s="1" t="s">
        <v>16</v>
      </c>
      <c r="C2" s="1" t="s">
        <v>17</v>
      </c>
      <c r="D2" s="2">
        <v>45782</v>
      </c>
      <c r="E2" s="2">
        <v>45821</v>
      </c>
      <c r="F2" s="3">
        <v>4914</v>
      </c>
      <c r="G2" s="1" t="s">
        <v>18</v>
      </c>
      <c r="H2" s="1" t="s">
        <v>19</v>
      </c>
      <c r="I2" s="2">
        <v>45911</v>
      </c>
      <c r="J2" s="1" t="s">
        <v>20</v>
      </c>
      <c r="K2" s="1" t="s">
        <v>21</v>
      </c>
      <c r="L2" s="1" t="s">
        <v>22</v>
      </c>
      <c r="M2" s="1" t="s">
        <v>23</v>
      </c>
      <c r="N2" s="3">
        <v>87</v>
      </c>
      <c r="O2" s="1" t="s">
        <v>24</v>
      </c>
    </row>
    <row r="3" spans="1:17" ht="13.8">
      <c r="A3" s="1" t="s">
        <v>25</v>
      </c>
      <c r="B3" s="1" t="s">
        <v>26</v>
      </c>
      <c r="C3" s="1" t="s">
        <v>27</v>
      </c>
      <c r="D3" s="2">
        <v>45744</v>
      </c>
      <c r="E3" s="2">
        <v>45695</v>
      </c>
      <c r="F3" s="3">
        <v>0</v>
      </c>
      <c r="G3" s="1" t="s">
        <v>28</v>
      </c>
      <c r="H3" s="1" t="s">
        <v>29</v>
      </c>
      <c r="I3" s="1"/>
      <c r="J3" s="1" t="s">
        <v>30</v>
      </c>
      <c r="K3" s="1" t="s">
        <v>31</v>
      </c>
      <c r="L3" s="1" t="s">
        <v>22</v>
      </c>
      <c r="M3" s="1" t="s">
        <v>32</v>
      </c>
      <c r="N3" s="3">
        <v>48</v>
      </c>
      <c r="O3" s="1" t="s">
        <v>24</v>
      </c>
    </row>
    <row r="4" spans="1:17" ht="13.8">
      <c r="A4" s="1" t="s">
        <v>33</v>
      </c>
      <c r="B4" s="1" t="s">
        <v>16</v>
      </c>
      <c r="C4" s="1" t="s">
        <v>17</v>
      </c>
      <c r="D4" s="2">
        <v>45701</v>
      </c>
      <c r="E4" s="2">
        <v>45924</v>
      </c>
      <c r="F4" s="3">
        <v>4571</v>
      </c>
      <c r="G4" s="1" t="s">
        <v>34</v>
      </c>
      <c r="H4" s="1" t="s">
        <v>35</v>
      </c>
      <c r="I4" s="2">
        <v>45751</v>
      </c>
      <c r="J4" s="1" t="s">
        <v>20</v>
      </c>
      <c r="K4" s="1" t="s">
        <v>21</v>
      </c>
      <c r="L4" s="1" t="s">
        <v>22</v>
      </c>
      <c r="M4" s="1" t="s">
        <v>36</v>
      </c>
      <c r="N4" s="3">
        <v>61</v>
      </c>
      <c r="O4" s="1" t="s">
        <v>24</v>
      </c>
    </row>
    <row r="5" spans="1:17" ht="13.8">
      <c r="A5" s="1" t="s">
        <v>37</v>
      </c>
      <c r="B5" s="1" t="s">
        <v>38</v>
      </c>
      <c r="C5" s="1" t="s">
        <v>39</v>
      </c>
      <c r="D5" s="2">
        <v>45905</v>
      </c>
      <c r="E5" s="2">
        <v>45905</v>
      </c>
      <c r="F5" s="3">
        <v>0</v>
      </c>
      <c r="G5" s="1" t="s">
        <v>34</v>
      </c>
      <c r="H5" s="1" t="s">
        <v>29</v>
      </c>
      <c r="I5" s="1"/>
      <c r="J5" s="1" t="s">
        <v>30</v>
      </c>
      <c r="K5" s="1" t="s">
        <v>40</v>
      </c>
      <c r="L5" s="1" t="s">
        <v>41</v>
      </c>
      <c r="M5" s="1" t="s">
        <v>32</v>
      </c>
      <c r="N5" s="3">
        <v>47</v>
      </c>
      <c r="O5" s="1" t="s">
        <v>24</v>
      </c>
    </row>
    <row r="6" spans="1:17" ht="13.8">
      <c r="A6" s="1" t="s">
        <v>42</v>
      </c>
      <c r="B6" s="1" t="s">
        <v>38</v>
      </c>
      <c r="C6" s="1" t="s">
        <v>17</v>
      </c>
      <c r="D6" s="2">
        <v>45806</v>
      </c>
      <c r="E6" s="2">
        <v>45908</v>
      </c>
      <c r="F6" s="3">
        <v>2213</v>
      </c>
      <c r="G6" s="1" t="s">
        <v>28</v>
      </c>
      <c r="H6" s="1" t="s">
        <v>29</v>
      </c>
      <c r="I6" s="2">
        <v>45714</v>
      </c>
      <c r="J6" s="1" t="s">
        <v>30</v>
      </c>
      <c r="K6" s="1" t="s">
        <v>43</v>
      </c>
      <c r="L6" s="1" t="s">
        <v>44</v>
      </c>
      <c r="M6" s="1" t="s">
        <v>45</v>
      </c>
      <c r="N6" s="3">
        <v>67</v>
      </c>
      <c r="O6" s="1" t="s">
        <v>46</v>
      </c>
    </row>
    <row r="7" spans="1:17" ht="13.8">
      <c r="A7" s="1" t="s">
        <v>47</v>
      </c>
      <c r="B7" s="1" t="s">
        <v>16</v>
      </c>
      <c r="C7" s="1" t="s">
        <v>17</v>
      </c>
      <c r="D7" s="2">
        <v>45901</v>
      </c>
      <c r="E7" s="2">
        <v>45877</v>
      </c>
      <c r="F7" s="3">
        <v>3988</v>
      </c>
      <c r="G7" s="1" t="s">
        <v>48</v>
      </c>
      <c r="H7" s="1" t="s">
        <v>49</v>
      </c>
      <c r="I7" s="2">
        <v>45913</v>
      </c>
      <c r="J7" s="1" t="s">
        <v>30</v>
      </c>
      <c r="K7" s="1" t="s">
        <v>43</v>
      </c>
      <c r="L7" s="1" t="s">
        <v>22</v>
      </c>
      <c r="M7" s="1" t="s">
        <v>32</v>
      </c>
      <c r="N7" s="3">
        <v>34</v>
      </c>
      <c r="O7" s="1" t="s">
        <v>24</v>
      </c>
      <c r="Q7" t="e">
        <f>COUNTIF(#REF!,"ERROR")</f>
        <v>#REF!</v>
      </c>
    </row>
    <row r="8" spans="1:17" ht="13.8">
      <c r="A8" s="1" t="s">
        <v>50</v>
      </c>
      <c r="B8" s="1" t="s">
        <v>51</v>
      </c>
      <c r="C8" s="1" t="s">
        <v>17</v>
      </c>
      <c r="D8" s="2">
        <v>45785</v>
      </c>
      <c r="E8" s="2">
        <v>45834</v>
      </c>
      <c r="F8" s="3">
        <v>4796</v>
      </c>
      <c r="G8" s="1" t="s">
        <v>34</v>
      </c>
      <c r="H8" s="1" t="s">
        <v>19</v>
      </c>
      <c r="I8" s="4">
        <v>45946</v>
      </c>
      <c r="J8" s="1" t="s">
        <v>20</v>
      </c>
      <c r="K8" s="1" t="s">
        <v>40</v>
      </c>
      <c r="L8" s="1" t="s">
        <v>44</v>
      </c>
      <c r="M8" s="1" t="s">
        <v>36</v>
      </c>
      <c r="N8" s="3">
        <v>94</v>
      </c>
      <c r="O8" s="1" t="s">
        <v>52</v>
      </c>
    </row>
    <row r="9" spans="1:17" ht="13.8">
      <c r="A9" s="1" t="s">
        <v>53</v>
      </c>
      <c r="B9" s="1" t="s">
        <v>51</v>
      </c>
      <c r="C9" s="1" t="s">
        <v>17</v>
      </c>
      <c r="D9" s="2">
        <v>45850</v>
      </c>
      <c r="E9" s="2">
        <v>45896</v>
      </c>
      <c r="F9" s="3">
        <v>4181</v>
      </c>
      <c r="G9" s="1" t="s">
        <v>34</v>
      </c>
      <c r="H9" s="1" t="s">
        <v>49</v>
      </c>
      <c r="I9" s="2">
        <v>45844</v>
      </c>
      <c r="J9" s="1" t="s">
        <v>30</v>
      </c>
      <c r="K9" s="1" t="s">
        <v>43</v>
      </c>
      <c r="L9" s="1" t="s">
        <v>22</v>
      </c>
      <c r="M9" s="1" t="s">
        <v>23</v>
      </c>
      <c r="N9" s="3">
        <v>91</v>
      </c>
      <c r="O9" s="1" t="s">
        <v>52</v>
      </c>
    </row>
    <row r="10" spans="1:17" ht="13.8">
      <c r="A10" s="1" t="s">
        <v>54</v>
      </c>
      <c r="B10" s="1" t="s">
        <v>16</v>
      </c>
      <c r="C10" s="1" t="s">
        <v>27</v>
      </c>
      <c r="D10" s="2">
        <v>45920</v>
      </c>
      <c r="E10" s="2">
        <v>45748</v>
      </c>
      <c r="F10" s="3">
        <v>0</v>
      </c>
      <c r="G10" s="1" t="s">
        <v>28</v>
      </c>
      <c r="H10" s="1" t="s">
        <v>35</v>
      </c>
      <c r="I10" s="1"/>
      <c r="J10" s="1" t="s">
        <v>20</v>
      </c>
      <c r="K10" s="1" t="s">
        <v>40</v>
      </c>
      <c r="L10" s="1" t="s">
        <v>44</v>
      </c>
      <c r="M10" s="1" t="s">
        <v>36</v>
      </c>
      <c r="N10" s="3">
        <v>64</v>
      </c>
      <c r="O10" s="1" t="s">
        <v>46</v>
      </c>
    </row>
    <row r="11" spans="1:17" ht="13.8">
      <c r="A11" s="1" t="s">
        <v>55</v>
      </c>
      <c r="B11" s="1" t="s">
        <v>51</v>
      </c>
      <c r="C11" s="1" t="s">
        <v>17</v>
      </c>
      <c r="D11" s="2">
        <v>45784</v>
      </c>
      <c r="E11" s="2">
        <v>45703</v>
      </c>
      <c r="F11" s="3">
        <v>4750</v>
      </c>
      <c r="G11" s="1" t="s">
        <v>28</v>
      </c>
      <c r="H11" s="1" t="s">
        <v>29</v>
      </c>
      <c r="I11" s="2">
        <v>45727</v>
      </c>
      <c r="J11" s="1" t="s">
        <v>30</v>
      </c>
      <c r="K11" s="1" t="s">
        <v>21</v>
      </c>
      <c r="L11" s="1" t="s">
        <v>22</v>
      </c>
      <c r="M11" s="1" t="s">
        <v>32</v>
      </c>
      <c r="N11" s="3">
        <v>68</v>
      </c>
      <c r="O11" s="1" t="s">
        <v>52</v>
      </c>
    </row>
    <row r="12" spans="1:17" ht="13.8">
      <c r="A12" s="1" t="s">
        <v>56</v>
      </c>
      <c r="B12" s="1" t="s">
        <v>51</v>
      </c>
      <c r="C12" s="1" t="s">
        <v>39</v>
      </c>
      <c r="D12" s="2">
        <v>45662</v>
      </c>
      <c r="E12" s="2">
        <v>45662</v>
      </c>
      <c r="F12" s="3">
        <v>0</v>
      </c>
      <c r="G12" s="1" t="s">
        <v>18</v>
      </c>
      <c r="H12" s="1" t="s">
        <v>29</v>
      </c>
      <c r="I12" s="1"/>
      <c r="J12" s="1" t="s">
        <v>20</v>
      </c>
      <c r="K12" s="1" t="s">
        <v>40</v>
      </c>
      <c r="L12" s="1" t="s">
        <v>27</v>
      </c>
      <c r="M12" s="1" t="s">
        <v>32</v>
      </c>
      <c r="N12" s="3">
        <v>61</v>
      </c>
      <c r="O12" s="1" t="s">
        <v>46</v>
      </c>
    </row>
    <row r="13" spans="1:17" ht="13.8">
      <c r="A13" s="1" t="s">
        <v>57</v>
      </c>
      <c r="B13" s="1" t="s">
        <v>51</v>
      </c>
      <c r="C13" s="1" t="s">
        <v>17</v>
      </c>
      <c r="D13" s="2">
        <v>45698</v>
      </c>
      <c r="E13" s="2">
        <v>45929</v>
      </c>
      <c r="F13" s="3">
        <v>4541</v>
      </c>
      <c r="G13" s="1" t="s">
        <v>18</v>
      </c>
      <c r="H13" s="1" t="s">
        <v>19</v>
      </c>
      <c r="I13" s="2">
        <v>45735</v>
      </c>
      <c r="J13" s="1" t="s">
        <v>30</v>
      </c>
      <c r="K13" s="1" t="s">
        <v>43</v>
      </c>
      <c r="L13" s="1" t="s">
        <v>22</v>
      </c>
      <c r="M13" s="1" t="s">
        <v>45</v>
      </c>
      <c r="N13" s="3">
        <v>92</v>
      </c>
      <c r="O13" s="1" t="s">
        <v>24</v>
      </c>
    </row>
    <row r="14" spans="1:17" ht="13.8">
      <c r="A14" s="1" t="s">
        <v>58</v>
      </c>
      <c r="B14" s="1" t="s">
        <v>26</v>
      </c>
      <c r="C14" s="1" t="s">
        <v>27</v>
      </c>
      <c r="D14" s="2">
        <v>45789</v>
      </c>
      <c r="E14" s="2">
        <v>45804</v>
      </c>
      <c r="F14" s="3">
        <v>0</v>
      </c>
      <c r="G14" s="1" t="s">
        <v>18</v>
      </c>
      <c r="H14" s="1" t="s">
        <v>49</v>
      </c>
      <c r="I14" s="1"/>
      <c r="J14" s="1" t="s">
        <v>30</v>
      </c>
      <c r="K14" s="1" t="s">
        <v>40</v>
      </c>
      <c r="L14" s="1" t="s">
        <v>44</v>
      </c>
      <c r="M14" s="1" t="s">
        <v>45</v>
      </c>
      <c r="N14" s="3">
        <v>39</v>
      </c>
      <c r="O14" s="1" t="s">
        <v>46</v>
      </c>
    </row>
    <row r="15" spans="1:17" ht="13.8">
      <c r="A15" s="1" t="s">
        <v>59</v>
      </c>
      <c r="B15" s="1" t="s">
        <v>51</v>
      </c>
      <c r="C15" s="1" t="s">
        <v>17</v>
      </c>
      <c r="D15" s="2">
        <v>45728</v>
      </c>
      <c r="E15" s="2">
        <v>45714</v>
      </c>
      <c r="F15" s="3">
        <v>2848</v>
      </c>
      <c r="G15" s="1" t="s">
        <v>18</v>
      </c>
      <c r="H15" s="1" t="s">
        <v>35</v>
      </c>
      <c r="I15" s="2">
        <v>45932</v>
      </c>
      <c r="J15" s="1" t="s">
        <v>30</v>
      </c>
      <c r="K15" s="1" t="s">
        <v>31</v>
      </c>
      <c r="L15" s="1" t="s">
        <v>41</v>
      </c>
      <c r="M15" s="1" t="s">
        <v>36</v>
      </c>
      <c r="N15" s="3">
        <v>32</v>
      </c>
      <c r="O15" s="1" t="s">
        <v>24</v>
      </c>
    </row>
    <row r="16" spans="1:17" ht="13.8">
      <c r="A16" s="1" t="s">
        <v>60</v>
      </c>
      <c r="B16" s="1" t="s">
        <v>26</v>
      </c>
      <c r="C16" s="1" t="s">
        <v>39</v>
      </c>
      <c r="D16" s="2">
        <v>45849</v>
      </c>
      <c r="E16" s="2">
        <v>45849</v>
      </c>
      <c r="F16" s="3">
        <v>0</v>
      </c>
      <c r="G16" s="1" t="s">
        <v>48</v>
      </c>
      <c r="H16" s="1" t="s">
        <v>29</v>
      </c>
      <c r="I16" s="1"/>
      <c r="J16" s="1" t="s">
        <v>30</v>
      </c>
      <c r="K16" s="1" t="s">
        <v>21</v>
      </c>
      <c r="L16" s="1" t="s">
        <v>27</v>
      </c>
      <c r="M16" s="1" t="s">
        <v>32</v>
      </c>
      <c r="N16" s="3">
        <v>74</v>
      </c>
      <c r="O16" s="1" t="s">
        <v>24</v>
      </c>
    </row>
    <row r="17" spans="1:15" ht="13.8">
      <c r="A17" s="1" t="s">
        <v>61</v>
      </c>
      <c r="B17" s="1" t="s">
        <v>51</v>
      </c>
      <c r="C17" s="1" t="s">
        <v>17</v>
      </c>
      <c r="D17" s="2">
        <v>45829</v>
      </c>
      <c r="E17" s="2">
        <v>45912</v>
      </c>
      <c r="F17" s="3">
        <v>2902</v>
      </c>
      <c r="G17" s="1" t="s">
        <v>48</v>
      </c>
      <c r="H17" s="1" t="s">
        <v>49</v>
      </c>
      <c r="I17" s="2">
        <v>45801</v>
      </c>
      <c r="J17" s="1" t="s">
        <v>30</v>
      </c>
      <c r="K17" s="1" t="s">
        <v>40</v>
      </c>
      <c r="L17" s="1" t="s">
        <v>41</v>
      </c>
      <c r="M17" s="1" t="s">
        <v>45</v>
      </c>
      <c r="N17" s="3">
        <v>57</v>
      </c>
      <c r="O17" s="1" t="s">
        <v>24</v>
      </c>
    </row>
    <row r="18" spans="1:15" ht="13.8">
      <c r="A18" s="1" t="s">
        <v>62</v>
      </c>
      <c r="B18" s="1" t="s">
        <v>16</v>
      </c>
      <c r="C18" s="1" t="s">
        <v>17</v>
      </c>
      <c r="D18" s="2">
        <v>45934</v>
      </c>
      <c r="E18" s="2">
        <v>45688</v>
      </c>
      <c r="F18" s="3">
        <v>3558</v>
      </c>
      <c r="G18" s="1" t="s">
        <v>34</v>
      </c>
      <c r="H18" s="1" t="s">
        <v>29</v>
      </c>
      <c r="I18" s="2">
        <v>45835</v>
      </c>
      <c r="J18" s="1" t="s">
        <v>30</v>
      </c>
      <c r="K18" s="1" t="s">
        <v>31</v>
      </c>
      <c r="L18" s="1" t="s">
        <v>44</v>
      </c>
      <c r="M18" s="1" t="s">
        <v>23</v>
      </c>
      <c r="N18" s="3">
        <v>89</v>
      </c>
      <c r="O18" s="1" t="s">
        <v>46</v>
      </c>
    </row>
    <row r="19" spans="1:15" ht="13.8">
      <c r="A19" s="1" t="s">
        <v>63</v>
      </c>
      <c r="B19" s="1" t="s">
        <v>26</v>
      </c>
      <c r="C19" s="1" t="s">
        <v>27</v>
      </c>
      <c r="D19" s="2">
        <v>45724</v>
      </c>
      <c r="E19" s="2">
        <v>45804</v>
      </c>
      <c r="F19" s="3">
        <v>0</v>
      </c>
      <c r="G19" s="1" t="s">
        <v>18</v>
      </c>
      <c r="H19" s="1" t="s">
        <v>35</v>
      </c>
      <c r="I19" s="1"/>
      <c r="J19" s="1" t="s">
        <v>30</v>
      </c>
      <c r="K19" s="1" t="s">
        <v>43</v>
      </c>
      <c r="L19" s="1" t="s">
        <v>22</v>
      </c>
      <c r="M19" s="1" t="s">
        <v>32</v>
      </c>
      <c r="N19" s="3">
        <v>74</v>
      </c>
      <c r="O19" s="1" t="s">
        <v>46</v>
      </c>
    </row>
    <row r="20" spans="1:15" ht="13.8">
      <c r="A20" s="1" t="s">
        <v>64</v>
      </c>
      <c r="B20" s="1" t="s">
        <v>26</v>
      </c>
      <c r="C20" s="1" t="s">
        <v>39</v>
      </c>
      <c r="D20" s="2">
        <v>45678</v>
      </c>
      <c r="E20" s="2">
        <v>45678</v>
      </c>
      <c r="F20" s="3">
        <v>0</v>
      </c>
      <c r="G20" s="1" t="s">
        <v>48</v>
      </c>
      <c r="H20" s="1" t="s">
        <v>49</v>
      </c>
      <c r="I20" s="1"/>
      <c r="J20" s="1" t="s">
        <v>20</v>
      </c>
      <c r="K20" s="1" t="s">
        <v>43</v>
      </c>
      <c r="L20" s="1" t="s">
        <v>27</v>
      </c>
      <c r="M20" s="1" t="s">
        <v>23</v>
      </c>
      <c r="N20" s="3">
        <v>94</v>
      </c>
      <c r="O20" s="1" t="s">
        <v>24</v>
      </c>
    </row>
    <row r="21" spans="1:15" ht="13.8">
      <c r="A21" s="1" t="s">
        <v>65</v>
      </c>
      <c r="B21" s="1" t="s">
        <v>16</v>
      </c>
      <c r="C21" s="1" t="s">
        <v>27</v>
      </c>
      <c r="D21" s="2">
        <v>45753</v>
      </c>
      <c r="E21" s="2">
        <v>45844</v>
      </c>
      <c r="F21" s="3">
        <v>0</v>
      </c>
      <c r="G21" s="1" t="s">
        <v>48</v>
      </c>
      <c r="H21" s="1" t="s">
        <v>35</v>
      </c>
      <c r="I21" s="1"/>
      <c r="J21" s="1" t="s">
        <v>30</v>
      </c>
      <c r="K21" s="1" t="s">
        <v>21</v>
      </c>
      <c r="L21" s="1" t="s">
        <v>44</v>
      </c>
      <c r="M21" s="1" t="s">
        <v>36</v>
      </c>
      <c r="N21" s="3">
        <v>32</v>
      </c>
      <c r="O21" s="1" t="s">
        <v>52</v>
      </c>
    </row>
    <row r="22" spans="1:15" ht="13.8">
      <c r="A22" s="1" t="s">
        <v>66</v>
      </c>
      <c r="B22" s="1" t="s">
        <v>51</v>
      </c>
      <c r="C22" s="1" t="s">
        <v>39</v>
      </c>
      <c r="D22" s="2">
        <v>45824</v>
      </c>
      <c r="E22" s="2">
        <v>45824</v>
      </c>
      <c r="F22" s="3">
        <v>0</v>
      </c>
      <c r="G22" s="1" t="s">
        <v>34</v>
      </c>
      <c r="H22" s="1" t="s">
        <v>49</v>
      </c>
      <c r="I22" s="1"/>
      <c r="J22" s="1" t="s">
        <v>20</v>
      </c>
      <c r="K22" s="1" t="s">
        <v>43</v>
      </c>
      <c r="L22" s="1" t="s">
        <v>41</v>
      </c>
      <c r="M22" s="1" t="s">
        <v>23</v>
      </c>
      <c r="N22" s="3">
        <v>59</v>
      </c>
      <c r="O22" s="1" t="s">
        <v>24</v>
      </c>
    </row>
    <row r="23" spans="1:15" ht="13.8">
      <c r="A23" s="1" t="s">
        <v>67</v>
      </c>
      <c r="B23" s="1" t="s">
        <v>51</v>
      </c>
      <c r="C23" s="1" t="s">
        <v>39</v>
      </c>
      <c r="D23" s="2">
        <v>45884</v>
      </c>
      <c r="E23" s="2">
        <v>45884</v>
      </c>
      <c r="F23" s="3">
        <v>0</v>
      </c>
      <c r="G23" s="1" t="s">
        <v>18</v>
      </c>
      <c r="H23" s="1" t="s">
        <v>35</v>
      </c>
      <c r="I23" s="1"/>
      <c r="J23" s="1" t="s">
        <v>30</v>
      </c>
      <c r="K23" s="1" t="s">
        <v>31</v>
      </c>
      <c r="L23" s="1" t="s">
        <v>27</v>
      </c>
      <c r="M23" s="1" t="s">
        <v>32</v>
      </c>
      <c r="N23" s="3">
        <v>60</v>
      </c>
      <c r="O23" s="1" t="s">
        <v>46</v>
      </c>
    </row>
    <row r="24" spans="1:15" ht="13.8">
      <c r="A24" s="1" t="s">
        <v>68</v>
      </c>
      <c r="B24" s="1" t="s">
        <v>16</v>
      </c>
      <c r="C24" s="1" t="s">
        <v>39</v>
      </c>
      <c r="D24" s="2">
        <v>45726</v>
      </c>
      <c r="E24" s="2">
        <v>45726</v>
      </c>
      <c r="F24" s="3">
        <v>0</v>
      </c>
      <c r="G24" s="1" t="s">
        <v>48</v>
      </c>
      <c r="H24" s="1" t="s">
        <v>35</v>
      </c>
      <c r="I24" s="1"/>
      <c r="J24" s="1" t="s">
        <v>20</v>
      </c>
      <c r="K24" s="1" t="s">
        <v>31</v>
      </c>
      <c r="L24" s="1" t="s">
        <v>41</v>
      </c>
      <c r="M24" s="1" t="s">
        <v>36</v>
      </c>
      <c r="N24" s="3">
        <v>49</v>
      </c>
      <c r="O24" s="1" t="s">
        <v>46</v>
      </c>
    </row>
    <row r="25" spans="1:15" ht="13.8">
      <c r="A25" s="1" t="s">
        <v>69</v>
      </c>
      <c r="B25" s="1" t="s">
        <v>26</v>
      </c>
      <c r="C25" s="1" t="s">
        <v>39</v>
      </c>
      <c r="D25" s="2">
        <v>45875</v>
      </c>
      <c r="E25" s="2">
        <v>45875</v>
      </c>
      <c r="F25" s="3">
        <v>0</v>
      </c>
      <c r="G25" s="1" t="s">
        <v>18</v>
      </c>
      <c r="H25" s="1" t="s">
        <v>35</v>
      </c>
      <c r="I25" s="1"/>
      <c r="J25" s="1" t="s">
        <v>30</v>
      </c>
      <c r="K25" s="1" t="s">
        <v>21</v>
      </c>
      <c r="L25" s="1" t="s">
        <v>22</v>
      </c>
      <c r="M25" s="1" t="s">
        <v>45</v>
      </c>
      <c r="N25" s="3">
        <v>32</v>
      </c>
      <c r="O25" s="1" t="s">
        <v>52</v>
      </c>
    </row>
    <row r="26" spans="1:15" ht="13.8">
      <c r="A26" s="1" t="s">
        <v>70</v>
      </c>
      <c r="B26" s="1" t="s">
        <v>38</v>
      </c>
      <c r="C26" s="1" t="s">
        <v>39</v>
      </c>
      <c r="D26" s="2">
        <v>45824</v>
      </c>
      <c r="E26" s="2">
        <v>45824</v>
      </c>
      <c r="F26" s="3">
        <v>0</v>
      </c>
      <c r="G26" s="1" t="s">
        <v>18</v>
      </c>
      <c r="H26" s="1" t="s">
        <v>19</v>
      </c>
      <c r="I26" s="1"/>
      <c r="J26" s="1" t="s">
        <v>30</v>
      </c>
      <c r="K26" s="1" t="s">
        <v>31</v>
      </c>
      <c r="L26" s="1" t="s">
        <v>27</v>
      </c>
      <c r="M26" s="1" t="s">
        <v>32</v>
      </c>
      <c r="N26" s="3">
        <v>48</v>
      </c>
      <c r="O26" s="1" t="s">
        <v>46</v>
      </c>
    </row>
    <row r="27" spans="1:15" ht="13.8">
      <c r="A27" s="1" t="s">
        <v>71</v>
      </c>
      <c r="B27" s="1" t="s">
        <v>26</v>
      </c>
      <c r="C27" s="1" t="s">
        <v>39</v>
      </c>
      <c r="D27" s="2">
        <v>45766</v>
      </c>
      <c r="E27" s="2">
        <v>45766</v>
      </c>
      <c r="F27" s="3">
        <v>0</v>
      </c>
      <c r="G27" s="1" t="s">
        <v>28</v>
      </c>
      <c r="H27" s="1" t="s">
        <v>35</v>
      </c>
      <c r="I27" s="1"/>
      <c r="J27" s="1" t="s">
        <v>20</v>
      </c>
      <c r="K27" s="1" t="s">
        <v>43</v>
      </c>
      <c r="L27" s="1" t="s">
        <v>44</v>
      </c>
      <c r="M27" s="1" t="s">
        <v>36</v>
      </c>
      <c r="N27" s="3">
        <v>40</v>
      </c>
      <c r="O27" s="1" t="s">
        <v>46</v>
      </c>
    </row>
    <row r="28" spans="1:15" ht="13.8">
      <c r="A28" s="1" t="s">
        <v>72</v>
      </c>
      <c r="B28" s="1" t="s">
        <v>26</v>
      </c>
      <c r="C28" s="1" t="s">
        <v>39</v>
      </c>
      <c r="D28" s="2">
        <v>45718</v>
      </c>
      <c r="E28" s="2">
        <v>45718</v>
      </c>
      <c r="F28" s="3">
        <v>0</v>
      </c>
      <c r="G28" s="1" t="s">
        <v>48</v>
      </c>
      <c r="H28" s="1" t="s">
        <v>49</v>
      </c>
      <c r="I28" s="1"/>
      <c r="J28" s="1" t="s">
        <v>30</v>
      </c>
      <c r="K28" s="1" t="s">
        <v>40</v>
      </c>
      <c r="L28" s="1" t="s">
        <v>27</v>
      </c>
      <c r="M28" s="1" t="s">
        <v>36</v>
      </c>
      <c r="N28" s="3">
        <v>37</v>
      </c>
      <c r="O28" s="1" t="s">
        <v>24</v>
      </c>
    </row>
    <row r="29" spans="1:15" ht="13.8">
      <c r="A29" s="1" t="s">
        <v>73</v>
      </c>
      <c r="B29" s="1" t="s">
        <v>16</v>
      </c>
      <c r="C29" s="1" t="s">
        <v>27</v>
      </c>
      <c r="D29" s="2">
        <v>45658</v>
      </c>
      <c r="E29" s="2">
        <v>45672</v>
      </c>
      <c r="F29" s="3">
        <v>0</v>
      </c>
      <c r="G29" s="1" t="s">
        <v>18</v>
      </c>
      <c r="H29" s="1" t="s">
        <v>19</v>
      </c>
      <c r="I29" s="1"/>
      <c r="J29" s="1" t="s">
        <v>30</v>
      </c>
      <c r="K29" s="1" t="s">
        <v>31</v>
      </c>
      <c r="L29" s="1" t="s">
        <v>41</v>
      </c>
      <c r="M29" s="1" t="s">
        <v>23</v>
      </c>
      <c r="N29" s="3">
        <v>61</v>
      </c>
      <c r="O29" s="1" t="s">
        <v>52</v>
      </c>
    </row>
    <row r="30" spans="1:15" ht="13.8">
      <c r="A30" s="1" t="s">
        <v>74</v>
      </c>
      <c r="B30" s="1" t="s">
        <v>38</v>
      </c>
      <c r="C30" s="1" t="s">
        <v>17</v>
      </c>
      <c r="D30" s="2">
        <v>45853</v>
      </c>
      <c r="E30" s="2">
        <v>45803</v>
      </c>
      <c r="F30" s="3">
        <v>2563</v>
      </c>
      <c r="G30" s="1" t="s">
        <v>18</v>
      </c>
      <c r="H30" s="1" t="s">
        <v>35</v>
      </c>
      <c r="I30" s="2">
        <v>45659</v>
      </c>
      <c r="J30" s="1" t="s">
        <v>30</v>
      </c>
      <c r="K30" s="1" t="s">
        <v>43</v>
      </c>
      <c r="L30" s="1" t="s">
        <v>27</v>
      </c>
      <c r="M30" s="1" t="s">
        <v>45</v>
      </c>
      <c r="N30" s="3">
        <v>58</v>
      </c>
      <c r="O30" s="1" t="s">
        <v>52</v>
      </c>
    </row>
    <row r="31" spans="1:15" ht="13.8">
      <c r="A31" s="1" t="s">
        <v>75</v>
      </c>
      <c r="B31" s="1" t="s">
        <v>51</v>
      </c>
      <c r="C31" s="1" t="s">
        <v>39</v>
      </c>
      <c r="D31" s="2">
        <v>45774</v>
      </c>
      <c r="E31" s="2">
        <v>45774</v>
      </c>
      <c r="F31" s="3">
        <v>0</v>
      </c>
      <c r="G31" s="1" t="s">
        <v>34</v>
      </c>
      <c r="H31" s="1" t="s">
        <v>35</v>
      </c>
      <c r="I31" s="1"/>
      <c r="J31" s="1" t="s">
        <v>20</v>
      </c>
      <c r="K31" s="1" t="s">
        <v>31</v>
      </c>
      <c r="L31" s="1" t="s">
        <v>41</v>
      </c>
      <c r="M31" s="1" t="s">
        <v>36</v>
      </c>
      <c r="N31" s="3">
        <v>47</v>
      </c>
      <c r="O31" s="1" t="s">
        <v>46</v>
      </c>
    </row>
    <row r="32" spans="1:15" ht="13.8">
      <c r="A32" s="1" t="s">
        <v>76</v>
      </c>
      <c r="B32" s="1" t="s">
        <v>51</v>
      </c>
      <c r="C32" s="1" t="s">
        <v>27</v>
      </c>
      <c r="D32" s="2">
        <v>45688</v>
      </c>
      <c r="E32" s="2">
        <v>45717</v>
      </c>
      <c r="F32" s="3">
        <v>0</v>
      </c>
      <c r="G32" s="1" t="s">
        <v>48</v>
      </c>
      <c r="H32" s="1" t="s">
        <v>49</v>
      </c>
      <c r="I32" s="1"/>
      <c r="J32" s="1" t="s">
        <v>20</v>
      </c>
      <c r="K32" s="1" t="s">
        <v>31</v>
      </c>
      <c r="L32" s="1" t="s">
        <v>44</v>
      </c>
      <c r="M32" s="1" t="s">
        <v>36</v>
      </c>
      <c r="N32" s="3">
        <v>65</v>
      </c>
      <c r="O32" s="1" t="s">
        <v>24</v>
      </c>
    </row>
    <row r="33" spans="1:15" ht="13.8">
      <c r="A33" s="1" t="s">
        <v>77</v>
      </c>
      <c r="B33" s="1" t="s">
        <v>51</v>
      </c>
      <c r="C33" s="1" t="s">
        <v>39</v>
      </c>
      <c r="D33" s="2">
        <v>45711</v>
      </c>
      <c r="E33" s="2">
        <v>45711</v>
      </c>
      <c r="F33" s="3">
        <v>0</v>
      </c>
      <c r="G33" s="1" t="s">
        <v>48</v>
      </c>
      <c r="H33" s="1" t="s">
        <v>19</v>
      </c>
      <c r="I33" s="1"/>
      <c r="J33" s="1" t="s">
        <v>30</v>
      </c>
      <c r="K33" s="1" t="s">
        <v>21</v>
      </c>
      <c r="L33" s="1" t="s">
        <v>22</v>
      </c>
      <c r="M33" s="1" t="s">
        <v>36</v>
      </c>
      <c r="N33" s="3">
        <v>43</v>
      </c>
      <c r="O33" s="1" t="s">
        <v>46</v>
      </c>
    </row>
    <row r="34" spans="1:15" ht="13.8">
      <c r="A34" s="1" t="s">
        <v>78</v>
      </c>
      <c r="B34" s="1" t="s">
        <v>16</v>
      </c>
      <c r="C34" s="1" t="s">
        <v>27</v>
      </c>
      <c r="D34" s="2">
        <v>45804</v>
      </c>
      <c r="E34" s="2">
        <v>45811</v>
      </c>
      <c r="F34" s="3">
        <v>0</v>
      </c>
      <c r="G34" s="1" t="s">
        <v>28</v>
      </c>
      <c r="H34" s="1" t="s">
        <v>29</v>
      </c>
      <c r="I34" s="1"/>
      <c r="J34" s="1" t="s">
        <v>20</v>
      </c>
      <c r="K34" s="1" t="s">
        <v>31</v>
      </c>
      <c r="L34" s="1" t="s">
        <v>41</v>
      </c>
      <c r="M34" s="1" t="s">
        <v>45</v>
      </c>
      <c r="N34" s="3">
        <v>46</v>
      </c>
      <c r="O34" s="1" t="s">
        <v>52</v>
      </c>
    </row>
    <row r="35" spans="1:15" ht="13.8">
      <c r="A35" s="1" t="s">
        <v>79</v>
      </c>
      <c r="B35" s="1" t="s">
        <v>16</v>
      </c>
      <c r="C35" s="1" t="s">
        <v>27</v>
      </c>
      <c r="D35" s="2">
        <v>45837</v>
      </c>
      <c r="E35" s="2">
        <v>45811</v>
      </c>
      <c r="F35" s="3">
        <v>0</v>
      </c>
      <c r="G35" s="1" t="s">
        <v>48</v>
      </c>
      <c r="H35" s="1" t="s">
        <v>49</v>
      </c>
      <c r="I35" s="1"/>
      <c r="J35" s="1" t="s">
        <v>30</v>
      </c>
      <c r="K35" s="1" t="s">
        <v>31</v>
      </c>
      <c r="L35" s="1" t="s">
        <v>44</v>
      </c>
      <c r="M35" s="1" t="s">
        <v>32</v>
      </c>
      <c r="N35" s="3">
        <v>87</v>
      </c>
      <c r="O35" s="1" t="s">
        <v>46</v>
      </c>
    </row>
    <row r="36" spans="1:15" ht="13.8">
      <c r="A36" s="1" t="s">
        <v>80</v>
      </c>
      <c r="B36" s="1" t="s">
        <v>26</v>
      </c>
      <c r="C36" s="1" t="s">
        <v>39</v>
      </c>
      <c r="D36" s="2">
        <v>45761</v>
      </c>
      <c r="E36" s="2">
        <v>45761</v>
      </c>
      <c r="F36" s="3">
        <v>0</v>
      </c>
      <c r="G36" s="1" t="s">
        <v>18</v>
      </c>
      <c r="H36" s="1" t="s">
        <v>29</v>
      </c>
      <c r="I36" s="1"/>
      <c r="J36" s="1" t="s">
        <v>20</v>
      </c>
      <c r="K36" s="1" t="s">
        <v>21</v>
      </c>
      <c r="L36" s="1" t="s">
        <v>22</v>
      </c>
      <c r="M36" s="1" t="s">
        <v>32</v>
      </c>
      <c r="N36" s="3">
        <v>76</v>
      </c>
      <c r="O36" s="1" t="s">
        <v>46</v>
      </c>
    </row>
    <row r="37" spans="1:15" ht="13.8">
      <c r="A37" s="1" t="s">
        <v>81</v>
      </c>
      <c r="B37" s="1" t="s">
        <v>51</v>
      </c>
      <c r="C37" s="1" t="s">
        <v>39</v>
      </c>
      <c r="D37" s="2">
        <v>45852</v>
      </c>
      <c r="E37" s="2">
        <v>45852</v>
      </c>
      <c r="F37" s="3">
        <v>0</v>
      </c>
      <c r="G37" s="1" t="s">
        <v>28</v>
      </c>
      <c r="H37" s="1" t="s">
        <v>19</v>
      </c>
      <c r="I37" s="1"/>
      <c r="J37" s="1" t="s">
        <v>30</v>
      </c>
      <c r="K37" s="1" t="s">
        <v>31</v>
      </c>
      <c r="L37" s="1" t="s">
        <v>44</v>
      </c>
      <c r="M37" s="1" t="s">
        <v>36</v>
      </c>
      <c r="N37" s="3">
        <v>37</v>
      </c>
      <c r="O37" s="1" t="s">
        <v>52</v>
      </c>
    </row>
    <row r="38" spans="1:15" ht="13.8">
      <c r="A38" s="1" t="s">
        <v>82</v>
      </c>
      <c r="B38" s="1" t="s">
        <v>16</v>
      </c>
      <c r="C38" s="1" t="s">
        <v>39</v>
      </c>
      <c r="D38" s="2">
        <v>45767</v>
      </c>
      <c r="E38" s="2">
        <v>45767</v>
      </c>
      <c r="F38" s="3">
        <v>0</v>
      </c>
      <c r="G38" s="1" t="s">
        <v>18</v>
      </c>
      <c r="H38" s="1" t="s">
        <v>49</v>
      </c>
      <c r="I38" s="1"/>
      <c r="J38" s="1" t="s">
        <v>30</v>
      </c>
      <c r="K38" s="1" t="s">
        <v>31</v>
      </c>
      <c r="L38" s="1" t="s">
        <v>22</v>
      </c>
      <c r="M38" s="1" t="s">
        <v>23</v>
      </c>
      <c r="N38" s="3">
        <v>30</v>
      </c>
      <c r="O38" s="1" t="s">
        <v>46</v>
      </c>
    </row>
    <row r="39" spans="1:15" ht="13.8">
      <c r="A39" s="1" t="s">
        <v>83</v>
      </c>
      <c r="B39" s="1" t="s">
        <v>51</v>
      </c>
      <c r="C39" s="1" t="s">
        <v>17</v>
      </c>
      <c r="D39" s="2">
        <v>45746</v>
      </c>
      <c r="E39" s="2">
        <v>45710</v>
      </c>
      <c r="F39" s="3">
        <v>4189</v>
      </c>
      <c r="G39" s="1" t="s">
        <v>34</v>
      </c>
      <c r="H39" s="1" t="s">
        <v>35</v>
      </c>
      <c r="I39" s="2">
        <v>45824</v>
      </c>
      <c r="J39" s="1" t="s">
        <v>30</v>
      </c>
      <c r="K39" s="1" t="s">
        <v>21</v>
      </c>
      <c r="L39" s="1" t="s">
        <v>41</v>
      </c>
      <c r="M39" s="1" t="s">
        <v>32</v>
      </c>
      <c r="N39" s="3">
        <v>32</v>
      </c>
      <c r="O39" s="1" t="s">
        <v>24</v>
      </c>
    </row>
    <row r="40" spans="1:15" ht="13.8">
      <c r="A40" s="1" t="s">
        <v>84</v>
      </c>
      <c r="B40" s="1" t="s">
        <v>51</v>
      </c>
      <c r="C40" s="1" t="s">
        <v>27</v>
      </c>
      <c r="D40" s="2">
        <v>45794</v>
      </c>
      <c r="E40" s="2">
        <v>45769</v>
      </c>
      <c r="F40" s="3">
        <v>0</v>
      </c>
      <c r="G40" s="1" t="s">
        <v>28</v>
      </c>
      <c r="H40" s="1" t="s">
        <v>29</v>
      </c>
      <c r="I40" s="1"/>
      <c r="J40" s="1" t="s">
        <v>30</v>
      </c>
      <c r="K40" s="1" t="s">
        <v>21</v>
      </c>
      <c r="L40" s="1" t="s">
        <v>27</v>
      </c>
      <c r="M40" s="1" t="s">
        <v>45</v>
      </c>
      <c r="N40" s="3">
        <v>52</v>
      </c>
      <c r="O40" s="1" t="s">
        <v>24</v>
      </c>
    </row>
    <row r="41" spans="1:15" ht="13.8">
      <c r="A41" s="1" t="s">
        <v>85</v>
      </c>
      <c r="B41" s="1" t="s">
        <v>26</v>
      </c>
      <c r="C41" s="1" t="s">
        <v>17</v>
      </c>
      <c r="D41" s="2">
        <v>45860</v>
      </c>
      <c r="E41" s="2">
        <v>45898</v>
      </c>
      <c r="F41" s="3">
        <v>2415</v>
      </c>
      <c r="G41" s="1" t="s">
        <v>48</v>
      </c>
      <c r="H41" s="1" t="s">
        <v>35</v>
      </c>
      <c r="I41" s="2">
        <v>45858</v>
      </c>
      <c r="J41" s="1" t="s">
        <v>30</v>
      </c>
      <c r="K41" s="1" t="s">
        <v>21</v>
      </c>
      <c r="L41" s="1" t="s">
        <v>27</v>
      </c>
      <c r="M41" s="1" t="s">
        <v>23</v>
      </c>
      <c r="N41" s="3">
        <v>78</v>
      </c>
      <c r="O41" s="1" t="s">
        <v>24</v>
      </c>
    </row>
    <row r="42" spans="1:15" ht="13.8">
      <c r="A42" s="1" t="s">
        <v>86</v>
      </c>
      <c r="B42" s="1" t="s">
        <v>51</v>
      </c>
      <c r="C42" s="1" t="s">
        <v>27</v>
      </c>
      <c r="D42" s="2">
        <v>45914</v>
      </c>
      <c r="E42" s="2">
        <v>45791</v>
      </c>
      <c r="F42" s="3">
        <v>0</v>
      </c>
      <c r="G42" s="1" t="s">
        <v>18</v>
      </c>
      <c r="H42" s="1" t="s">
        <v>29</v>
      </c>
      <c r="I42" s="1"/>
      <c r="J42" s="1" t="s">
        <v>30</v>
      </c>
      <c r="K42" s="1" t="s">
        <v>40</v>
      </c>
      <c r="L42" s="1" t="s">
        <v>27</v>
      </c>
      <c r="M42" s="1" t="s">
        <v>32</v>
      </c>
      <c r="N42" s="3">
        <v>36</v>
      </c>
      <c r="O42" s="1" t="s">
        <v>46</v>
      </c>
    </row>
    <row r="43" spans="1:15" ht="13.8">
      <c r="A43" s="1" t="s">
        <v>87</v>
      </c>
      <c r="B43" s="1" t="s">
        <v>51</v>
      </c>
      <c r="C43" s="1" t="s">
        <v>17</v>
      </c>
      <c r="D43" s="2">
        <v>45711</v>
      </c>
      <c r="E43" s="2">
        <v>45891</v>
      </c>
      <c r="F43" s="3">
        <v>3203</v>
      </c>
      <c r="G43" s="1" t="s">
        <v>18</v>
      </c>
      <c r="H43" s="1" t="s">
        <v>19</v>
      </c>
      <c r="I43" s="2">
        <v>45677</v>
      </c>
      <c r="J43" s="1" t="s">
        <v>30</v>
      </c>
      <c r="K43" s="1" t="s">
        <v>40</v>
      </c>
      <c r="L43" s="1" t="s">
        <v>44</v>
      </c>
      <c r="M43" s="1" t="s">
        <v>36</v>
      </c>
      <c r="N43" s="3">
        <v>60</v>
      </c>
      <c r="O43" s="1" t="s">
        <v>24</v>
      </c>
    </row>
    <row r="44" spans="1:15" ht="13.8">
      <c r="A44" s="1" t="s">
        <v>88</v>
      </c>
      <c r="B44" s="1" t="s">
        <v>51</v>
      </c>
      <c r="C44" s="1" t="s">
        <v>17</v>
      </c>
      <c r="D44" s="2">
        <v>45703</v>
      </c>
      <c r="E44" s="2">
        <v>45935</v>
      </c>
      <c r="F44" s="3">
        <v>2805</v>
      </c>
      <c r="G44" s="1" t="s">
        <v>28</v>
      </c>
      <c r="H44" s="1" t="s">
        <v>29</v>
      </c>
      <c r="I44" s="4">
        <v>45943</v>
      </c>
      <c r="J44" s="1" t="s">
        <v>20</v>
      </c>
      <c r="K44" s="1" t="s">
        <v>40</v>
      </c>
      <c r="L44" s="1" t="s">
        <v>27</v>
      </c>
      <c r="M44" s="1" t="s">
        <v>45</v>
      </c>
      <c r="N44" s="3">
        <v>58</v>
      </c>
      <c r="O44" s="1" t="s">
        <v>46</v>
      </c>
    </row>
    <row r="45" spans="1:15" ht="13.8">
      <c r="A45" s="1" t="s">
        <v>89</v>
      </c>
      <c r="B45" s="1" t="s">
        <v>26</v>
      </c>
      <c r="C45" s="1" t="s">
        <v>27</v>
      </c>
      <c r="D45" s="2">
        <v>45838</v>
      </c>
      <c r="E45" s="2">
        <v>45793</v>
      </c>
      <c r="F45" s="3">
        <v>0</v>
      </c>
      <c r="G45" s="1" t="s">
        <v>34</v>
      </c>
      <c r="H45" s="1" t="s">
        <v>19</v>
      </c>
      <c r="I45" s="1"/>
      <c r="J45" s="1" t="s">
        <v>20</v>
      </c>
      <c r="K45" s="1" t="s">
        <v>21</v>
      </c>
      <c r="L45" s="1" t="s">
        <v>44</v>
      </c>
      <c r="M45" s="1" t="s">
        <v>23</v>
      </c>
      <c r="N45" s="3">
        <v>92</v>
      </c>
      <c r="O45" s="1" t="s">
        <v>24</v>
      </c>
    </row>
    <row r="46" spans="1:15" ht="13.8">
      <c r="A46" s="1" t="s">
        <v>90</v>
      </c>
      <c r="B46" s="1" t="s">
        <v>51</v>
      </c>
      <c r="C46" s="1" t="s">
        <v>39</v>
      </c>
      <c r="D46" s="2">
        <v>45872</v>
      </c>
      <c r="E46" s="2">
        <v>45872</v>
      </c>
      <c r="F46" s="3">
        <v>0</v>
      </c>
      <c r="G46" s="1" t="s">
        <v>18</v>
      </c>
      <c r="H46" s="1" t="s">
        <v>19</v>
      </c>
      <c r="I46" s="1"/>
      <c r="J46" s="1" t="s">
        <v>20</v>
      </c>
      <c r="K46" s="1" t="s">
        <v>21</v>
      </c>
      <c r="L46" s="1" t="s">
        <v>27</v>
      </c>
      <c r="M46" s="1" t="s">
        <v>23</v>
      </c>
      <c r="N46" s="3">
        <v>65</v>
      </c>
      <c r="O46" s="1" t="s">
        <v>46</v>
      </c>
    </row>
    <row r="47" spans="1:15" ht="13.8">
      <c r="A47" s="1" t="s">
        <v>91</v>
      </c>
      <c r="B47" s="1" t="s">
        <v>16</v>
      </c>
      <c r="C47" s="1" t="s">
        <v>17</v>
      </c>
      <c r="D47" s="2">
        <v>45938</v>
      </c>
      <c r="E47" s="4">
        <v>45941</v>
      </c>
      <c r="F47" s="3">
        <v>2134</v>
      </c>
      <c r="G47" s="1" t="s">
        <v>18</v>
      </c>
      <c r="H47" s="1" t="s">
        <v>35</v>
      </c>
      <c r="I47" s="2">
        <v>45696</v>
      </c>
      <c r="J47" s="1" t="s">
        <v>30</v>
      </c>
      <c r="K47" s="1" t="s">
        <v>21</v>
      </c>
      <c r="L47" s="1" t="s">
        <v>22</v>
      </c>
      <c r="M47" s="1" t="s">
        <v>36</v>
      </c>
      <c r="N47" s="3">
        <v>42</v>
      </c>
      <c r="O47" s="1" t="s">
        <v>46</v>
      </c>
    </row>
    <row r="48" spans="1:15" ht="13.8">
      <c r="A48" s="1" t="s">
        <v>92</v>
      </c>
      <c r="B48" s="1" t="s">
        <v>26</v>
      </c>
      <c r="C48" s="1" t="s">
        <v>39</v>
      </c>
      <c r="D48" s="2">
        <v>45674</v>
      </c>
      <c r="E48" s="2">
        <v>45674</v>
      </c>
      <c r="F48" s="3">
        <v>0</v>
      </c>
      <c r="G48" s="1" t="s">
        <v>18</v>
      </c>
      <c r="H48" s="1" t="s">
        <v>49</v>
      </c>
      <c r="I48" s="1"/>
      <c r="J48" s="1" t="s">
        <v>20</v>
      </c>
      <c r="K48" s="1" t="s">
        <v>40</v>
      </c>
      <c r="L48" s="1" t="s">
        <v>22</v>
      </c>
      <c r="M48" s="1" t="s">
        <v>32</v>
      </c>
      <c r="N48" s="3">
        <v>44</v>
      </c>
      <c r="O48" s="1" t="s">
        <v>46</v>
      </c>
    </row>
    <row r="49" spans="1:15" ht="13.8">
      <c r="A49" s="1" t="s">
        <v>93</v>
      </c>
      <c r="B49" s="1" t="s">
        <v>38</v>
      </c>
      <c r="C49" s="1" t="s">
        <v>39</v>
      </c>
      <c r="D49" s="2">
        <v>45855</v>
      </c>
      <c r="E49" s="2">
        <v>45855</v>
      </c>
      <c r="F49" s="3">
        <v>0</v>
      </c>
      <c r="G49" s="1" t="s">
        <v>18</v>
      </c>
      <c r="H49" s="1" t="s">
        <v>19</v>
      </c>
      <c r="I49" s="1"/>
      <c r="J49" s="1" t="s">
        <v>20</v>
      </c>
      <c r="K49" s="1" t="s">
        <v>40</v>
      </c>
      <c r="L49" s="1" t="s">
        <v>44</v>
      </c>
      <c r="M49" s="1" t="s">
        <v>32</v>
      </c>
      <c r="N49" s="3">
        <v>86</v>
      </c>
      <c r="O49" s="1" t="s">
        <v>52</v>
      </c>
    </row>
    <row r="50" spans="1:15" ht="13.8">
      <c r="A50" s="1" t="s">
        <v>94</v>
      </c>
      <c r="B50" s="1" t="s">
        <v>51</v>
      </c>
      <c r="C50" s="1" t="s">
        <v>17</v>
      </c>
      <c r="D50" s="2">
        <v>45927</v>
      </c>
      <c r="E50" s="2">
        <v>45799</v>
      </c>
      <c r="F50" s="3">
        <v>4113</v>
      </c>
      <c r="G50" s="1" t="s">
        <v>34</v>
      </c>
      <c r="H50" s="1" t="s">
        <v>29</v>
      </c>
      <c r="I50" s="2">
        <v>45791</v>
      </c>
      <c r="J50" s="1" t="s">
        <v>30</v>
      </c>
      <c r="K50" s="1" t="s">
        <v>40</v>
      </c>
      <c r="L50" s="1" t="s">
        <v>22</v>
      </c>
      <c r="M50" s="1" t="s">
        <v>45</v>
      </c>
      <c r="N50" s="3">
        <v>55</v>
      </c>
      <c r="O50" s="1" t="s">
        <v>52</v>
      </c>
    </row>
    <row r="51" spans="1:15" ht="13.8">
      <c r="A51" s="1" t="s">
        <v>95</v>
      </c>
      <c r="B51" s="1" t="s">
        <v>16</v>
      </c>
      <c r="C51" s="1" t="s">
        <v>39</v>
      </c>
      <c r="D51" s="2">
        <v>45865</v>
      </c>
      <c r="E51" s="2">
        <v>45865</v>
      </c>
      <c r="F51" s="3">
        <v>0</v>
      </c>
      <c r="G51" s="1" t="s">
        <v>34</v>
      </c>
      <c r="H51" s="1" t="s">
        <v>19</v>
      </c>
      <c r="I51" s="1"/>
      <c r="J51" s="1" t="s">
        <v>30</v>
      </c>
      <c r="K51" s="1" t="s">
        <v>43</v>
      </c>
      <c r="L51" s="1" t="s">
        <v>41</v>
      </c>
      <c r="M51" s="1" t="s">
        <v>45</v>
      </c>
      <c r="N51" s="3">
        <v>62</v>
      </c>
      <c r="O51" s="1" t="s">
        <v>52</v>
      </c>
    </row>
    <row r="52" spans="1:15" ht="13.8">
      <c r="A52" s="1" t="s">
        <v>96</v>
      </c>
      <c r="B52" s="1" t="s">
        <v>38</v>
      </c>
      <c r="C52" s="1" t="s">
        <v>39</v>
      </c>
      <c r="D52" s="2">
        <v>45725</v>
      </c>
      <c r="E52" s="2">
        <v>45725</v>
      </c>
      <c r="F52" s="3">
        <v>0</v>
      </c>
      <c r="G52" s="1" t="s">
        <v>28</v>
      </c>
      <c r="H52" s="1" t="s">
        <v>49</v>
      </c>
      <c r="I52" s="1"/>
      <c r="J52" s="1" t="s">
        <v>20</v>
      </c>
      <c r="K52" s="1" t="s">
        <v>40</v>
      </c>
      <c r="L52" s="1" t="s">
        <v>22</v>
      </c>
      <c r="M52" s="1" t="s">
        <v>32</v>
      </c>
      <c r="N52" s="3">
        <v>49</v>
      </c>
      <c r="O52" s="1" t="s">
        <v>24</v>
      </c>
    </row>
    <row r="53" spans="1:15" ht="13.8">
      <c r="A53" s="1" t="s">
        <v>97</v>
      </c>
      <c r="B53" s="1" t="s">
        <v>38</v>
      </c>
      <c r="C53" s="1" t="s">
        <v>39</v>
      </c>
      <c r="D53" s="2">
        <v>45769</v>
      </c>
      <c r="E53" s="2">
        <v>45769</v>
      </c>
      <c r="F53" s="3">
        <v>0</v>
      </c>
      <c r="G53" s="1" t="s">
        <v>34</v>
      </c>
      <c r="H53" s="1" t="s">
        <v>49</v>
      </c>
      <c r="I53" s="1"/>
      <c r="J53" s="1" t="s">
        <v>30</v>
      </c>
      <c r="K53" s="1" t="s">
        <v>40</v>
      </c>
      <c r="L53" s="1" t="s">
        <v>22</v>
      </c>
      <c r="M53" s="1" t="s">
        <v>45</v>
      </c>
      <c r="N53" s="3">
        <v>30</v>
      </c>
      <c r="O53" s="1" t="s">
        <v>52</v>
      </c>
    </row>
    <row r="54" spans="1:15" ht="13.8">
      <c r="A54" s="1" t="s">
        <v>98</v>
      </c>
      <c r="B54" s="1" t="s">
        <v>38</v>
      </c>
      <c r="C54" s="1" t="s">
        <v>17</v>
      </c>
      <c r="D54" s="2">
        <v>45810</v>
      </c>
      <c r="E54" s="2">
        <v>45730</v>
      </c>
      <c r="F54" s="3">
        <v>2779</v>
      </c>
      <c r="G54" s="1" t="s">
        <v>34</v>
      </c>
      <c r="H54" s="1" t="s">
        <v>49</v>
      </c>
      <c r="I54" s="2">
        <v>45870</v>
      </c>
      <c r="J54" s="1" t="s">
        <v>20</v>
      </c>
      <c r="K54" s="1" t="s">
        <v>43</v>
      </c>
      <c r="L54" s="1" t="s">
        <v>27</v>
      </c>
      <c r="M54" s="1" t="s">
        <v>36</v>
      </c>
      <c r="N54" s="3">
        <v>80</v>
      </c>
      <c r="O54" s="1" t="s">
        <v>46</v>
      </c>
    </row>
    <row r="55" spans="1:15" ht="13.8">
      <c r="A55" s="1" t="s">
        <v>99</v>
      </c>
      <c r="B55" s="1" t="s">
        <v>26</v>
      </c>
      <c r="C55" s="1" t="s">
        <v>27</v>
      </c>
      <c r="D55" s="2">
        <v>45897</v>
      </c>
      <c r="E55" s="2">
        <v>45771</v>
      </c>
      <c r="F55" s="3">
        <v>0</v>
      </c>
      <c r="G55" s="1" t="s">
        <v>28</v>
      </c>
      <c r="H55" s="1" t="s">
        <v>49</v>
      </c>
      <c r="I55" s="1"/>
      <c r="J55" s="1" t="s">
        <v>30</v>
      </c>
      <c r="K55" s="1" t="s">
        <v>31</v>
      </c>
      <c r="L55" s="1" t="s">
        <v>41</v>
      </c>
      <c r="M55" s="1" t="s">
        <v>45</v>
      </c>
      <c r="N55" s="3">
        <v>59</v>
      </c>
      <c r="O55" s="1" t="s">
        <v>24</v>
      </c>
    </row>
    <row r="56" spans="1:15" ht="13.8">
      <c r="A56" s="1" t="s">
        <v>100</v>
      </c>
      <c r="B56" s="1" t="s">
        <v>26</v>
      </c>
      <c r="C56" s="1" t="s">
        <v>27</v>
      </c>
      <c r="D56" s="2">
        <v>45753</v>
      </c>
      <c r="E56" s="2">
        <v>45778</v>
      </c>
      <c r="F56" s="3">
        <v>0</v>
      </c>
      <c r="G56" s="1" t="s">
        <v>48</v>
      </c>
      <c r="H56" s="1" t="s">
        <v>19</v>
      </c>
      <c r="I56" s="1"/>
      <c r="J56" s="1" t="s">
        <v>30</v>
      </c>
      <c r="K56" s="1" t="s">
        <v>21</v>
      </c>
      <c r="L56" s="1" t="s">
        <v>44</v>
      </c>
      <c r="M56" s="1" t="s">
        <v>36</v>
      </c>
      <c r="N56" s="3">
        <v>63</v>
      </c>
      <c r="O56" s="1" t="s">
        <v>24</v>
      </c>
    </row>
    <row r="57" spans="1:15" ht="13.8">
      <c r="A57" s="1" t="s">
        <v>101</v>
      </c>
      <c r="B57" s="1" t="s">
        <v>16</v>
      </c>
      <c r="C57" s="1" t="s">
        <v>39</v>
      </c>
      <c r="D57" s="2">
        <v>45751</v>
      </c>
      <c r="E57" s="2">
        <v>45751</v>
      </c>
      <c r="F57" s="3">
        <v>0</v>
      </c>
      <c r="G57" s="1" t="s">
        <v>18</v>
      </c>
      <c r="H57" s="1" t="s">
        <v>29</v>
      </c>
      <c r="I57" s="1"/>
      <c r="J57" s="1" t="s">
        <v>30</v>
      </c>
      <c r="K57" s="1" t="s">
        <v>21</v>
      </c>
      <c r="L57" s="1" t="s">
        <v>27</v>
      </c>
      <c r="M57" s="1" t="s">
        <v>36</v>
      </c>
      <c r="N57" s="3">
        <v>31</v>
      </c>
      <c r="O57" s="1" t="s">
        <v>52</v>
      </c>
    </row>
    <row r="58" spans="1:15" ht="13.8">
      <c r="A58" s="1" t="s">
        <v>102</v>
      </c>
      <c r="B58" s="1" t="s">
        <v>26</v>
      </c>
      <c r="C58" s="1" t="s">
        <v>39</v>
      </c>
      <c r="D58" s="2">
        <v>45661</v>
      </c>
      <c r="E58" s="2">
        <v>45661</v>
      </c>
      <c r="F58" s="3">
        <v>0</v>
      </c>
      <c r="G58" s="1" t="s">
        <v>34</v>
      </c>
      <c r="H58" s="1" t="s">
        <v>35</v>
      </c>
      <c r="I58" s="1"/>
      <c r="J58" s="1" t="s">
        <v>20</v>
      </c>
      <c r="K58" s="1" t="s">
        <v>21</v>
      </c>
      <c r="L58" s="1" t="s">
        <v>41</v>
      </c>
      <c r="M58" s="1" t="s">
        <v>45</v>
      </c>
      <c r="N58" s="3">
        <v>69</v>
      </c>
      <c r="O58" s="1" t="s">
        <v>24</v>
      </c>
    </row>
    <row r="59" spans="1:15" ht="13.8">
      <c r="A59" s="1" t="s">
        <v>103</v>
      </c>
      <c r="B59" s="1" t="s">
        <v>51</v>
      </c>
      <c r="C59" s="1" t="s">
        <v>27</v>
      </c>
      <c r="D59" s="2">
        <v>45881</v>
      </c>
      <c r="E59" s="2">
        <v>45836</v>
      </c>
      <c r="F59" s="3">
        <v>0</v>
      </c>
      <c r="G59" s="1" t="s">
        <v>48</v>
      </c>
      <c r="H59" s="1" t="s">
        <v>29</v>
      </c>
      <c r="I59" s="1"/>
      <c r="J59" s="1" t="s">
        <v>30</v>
      </c>
      <c r="K59" s="1" t="s">
        <v>21</v>
      </c>
      <c r="L59" s="1" t="s">
        <v>22</v>
      </c>
      <c r="M59" s="1" t="s">
        <v>23</v>
      </c>
      <c r="N59" s="3">
        <v>56</v>
      </c>
      <c r="O59" s="1" t="s">
        <v>52</v>
      </c>
    </row>
    <row r="60" spans="1:15" ht="13.8">
      <c r="A60" s="1" t="s">
        <v>104</v>
      </c>
      <c r="B60" s="1" t="s">
        <v>16</v>
      </c>
      <c r="C60" s="1" t="s">
        <v>27</v>
      </c>
      <c r="D60" s="2">
        <v>45797</v>
      </c>
      <c r="E60" s="2">
        <v>45865</v>
      </c>
      <c r="F60" s="3">
        <v>0</v>
      </c>
      <c r="G60" s="1" t="s">
        <v>34</v>
      </c>
      <c r="H60" s="1" t="s">
        <v>29</v>
      </c>
      <c r="I60" s="1"/>
      <c r="J60" s="1" t="s">
        <v>30</v>
      </c>
      <c r="K60" s="1" t="s">
        <v>43</v>
      </c>
      <c r="L60" s="1" t="s">
        <v>27</v>
      </c>
      <c r="M60" s="1" t="s">
        <v>36</v>
      </c>
      <c r="N60" s="3">
        <v>63</v>
      </c>
      <c r="O60" s="1" t="s">
        <v>46</v>
      </c>
    </row>
    <row r="61" spans="1:15" ht="13.8">
      <c r="A61" s="1" t="s">
        <v>105</v>
      </c>
      <c r="B61" s="1" t="s">
        <v>51</v>
      </c>
      <c r="C61" s="1" t="s">
        <v>17</v>
      </c>
      <c r="D61" s="2">
        <v>45838</v>
      </c>
      <c r="E61" s="2">
        <v>45820</v>
      </c>
      <c r="F61" s="3">
        <v>2956</v>
      </c>
      <c r="G61" s="1" t="s">
        <v>34</v>
      </c>
      <c r="H61" s="1" t="s">
        <v>35</v>
      </c>
      <c r="I61" s="2">
        <v>45817</v>
      </c>
      <c r="J61" s="1" t="s">
        <v>30</v>
      </c>
      <c r="K61" s="1" t="s">
        <v>43</v>
      </c>
      <c r="L61" s="1" t="s">
        <v>22</v>
      </c>
      <c r="M61" s="1" t="s">
        <v>32</v>
      </c>
      <c r="N61" s="3">
        <v>83</v>
      </c>
      <c r="O61" s="1" t="s">
        <v>52</v>
      </c>
    </row>
    <row r="62" spans="1:15" ht="13.8">
      <c r="A62" s="1" t="s">
        <v>106</v>
      </c>
      <c r="B62" s="1" t="s">
        <v>51</v>
      </c>
      <c r="C62" s="1" t="s">
        <v>27</v>
      </c>
      <c r="D62" s="2">
        <v>45692</v>
      </c>
      <c r="E62" s="2">
        <v>45731</v>
      </c>
      <c r="F62" s="3">
        <v>0</v>
      </c>
      <c r="G62" s="1" t="s">
        <v>18</v>
      </c>
      <c r="H62" s="1" t="s">
        <v>49</v>
      </c>
      <c r="I62" s="1"/>
      <c r="J62" s="1" t="s">
        <v>20</v>
      </c>
      <c r="K62" s="1" t="s">
        <v>31</v>
      </c>
      <c r="L62" s="1" t="s">
        <v>41</v>
      </c>
      <c r="M62" s="1" t="s">
        <v>23</v>
      </c>
      <c r="N62" s="3">
        <v>92</v>
      </c>
      <c r="O62" s="1" t="s">
        <v>46</v>
      </c>
    </row>
    <row r="63" spans="1:15" ht="13.8">
      <c r="A63" s="1" t="s">
        <v>107</v>
      </c>
      <c r="B63" s="1" t="s">
        <v>38</v>
      </c>
      <c r="C63" s="1" t="s">
        <v>27</v>
      </c>
      <c r="D63" s="2">
        <v>45714</v>
      </c>
      <c r="E63" s="2">
        <v>45794</v>
      </c>
      <c r="F63" s="3">
        <v>0</v>
      </c>
      <c r="G63" s="1" t="s">
        <v>18</v>
      </c>
      <c r="H63" s="1" t="s">
        <v>29</v>
      </c>
      <c r="I63" s="1"/>
      <c r="J63" s="1" t="s">
        <v>30</v>
      </c>
      <c r="K63" s="1" t="s">
        <v>43</v>
      </c>
      <c r="L63" s="1" t="s">
        <v>27</v>
      </c>
      <c r="M63" s="1" t="s">
        <v>23</v>
      </c>
      <c r="N63" s="3">
        <v>55</v>
      </c>
      <c r="O63" s="1" t="s">
        <v>24</v>
      </c>
    </row>
    <row r="64" spans="1:15" ht="13.8">
      <c r="A64" s="1" t="s">
        <v>108</v>
      </c>
      <c r="B64" s="1" t="s">
        <v>38</v>
      </c>
      <c r="C64" s="1" t="s">
        <v>39</v>
      </c>
      <c r="D64" s="2">
        <v>45799</v>
      </c>
      <c r="E64" s="2">
        <v>45799</v>
      </c>
      <c r="F64" s="3">
        <v>0</v>
      </c>
      <c r="G64" s="1" t="s">
        <v>48</v>
      </c>
      <c r="H64" s="1" t="s">
        <v>35</v>
      </c>
      <c r="I64" s="1"/>
      <c r="J64" s="1" t="s">
        <v>30</v>
      </c>
      <c r="K64" s="1" t="s">
        <v>31</v>
      </c>
      <c r="L64" s="1" t="s">
        <v>27</v>
      </c>
      <c r="M64" s="1" t="s">
        <v>36</v>
      </c>
      <c r="N64" s="3">
        <v>92</v>
      </c>
      <c r="O64" s="1" t="s">
        <v>24</v>
      </c>
    </row>
    <row r="65" spans="1:15" ht="13.8">
      <c r="A65" s="1" t="s">
        <v>109</v>
      </c>
      <c r="B65" s="1" t="s">
        <v>26</v>
      </c>
      <c r="C65" s="1" t="s">
        <v>39</v>
      </c>
      <c r="D65" s="2">
        <v>45713</v>
      </c>
      <c r="E65" s="2">
        <v>45713</v>
      </c>
      <c r="F65" s="3">
        <v>0</v>
      </c>
      <c r="G65" s="1" t="s">
        <v>48</v>
      </c>
      <c r="H65" s="1" t="s">
        <v>29</v>
      </c>
      <c r="I65" s="1"/>
      <c r="J65" s="1" t="s">
        <v>30</v>
      </c>
      <c r="K65" s="1" t="s">
        <v>43</v>
      </c>
      <c r="L65" s="1" t="s">
        <v>27</v>
      </c>
      <c r="M65" s="1" t="s">
        <v>32</v>
      </c>
      <c r="N65" s="3">
        <v>31</v>
      </c>
      <c r="O65" s="1" t="s">
        <v>46</v>
      </c>
    </row>
    <row r="66" spans="1:15" ht="13.8">
      <c r="A66" s="1" t="s">
        <v>110</v>
      </c>
      <c r="B66" s="1" t="s">
        <v>26</v>
      </c>
      <c r="C66" s="1" t="s">
        <v>17</v>
      </c>
      <c r="D66" s="2">
        <v>45664</v>
      </c>
      <c r="E66" s="2">
        <v>45885</v>
      </c>
      <c r="F66" s="3">
        <v>2897</v>
      </c>
      <c r="G66" s="1" t="s">
        <v>28</v>
      </c>
      <c r="H66" s="1" t="s">
        <v>19</v>
      </c>
      <c r="I66" s="2">
        <v>45688</v>
      </c>
      <c r="J66" s="1" t="s">
        <v>20</v>
      </c>
      <c r="K66" s="1" t="s">
        <v>40</v>
      </c>
      <c r="L66" s="1" t="s">
        <v>44</v>
      </c>
      <c r="M66" s="1" t="s">
        <v>23</v>
      </c>
      <c r="N66" s="3">
        <v>50</v>
      </c>
      <c r="O66" s="1" t="s">
        <v>46</v>
      </c>
    </row>
    <row r="67" spans="1:15" ht="13.8">
      <c r="A67" s="1" t="s">
        <v>111</v>
      </c>
      <c r="B67" s="1" t="s">
        <v>38</v>
      </c>
      <c r="C67" s="1" t="s">
        <v>17</v>
      </c>
      <c r="D67" s="2">
        <v>45798</v>
      </c>
      <c r="E67" s="2">
        <v>45876</v>
      </c>
      <c r="F67" s="3">
        <v>2908</v>
      </c>
      <c r="G67" s="1" t="s">
        <v>34</v>
      </c>
      <c r="H67" s="1" t="s">
        <v>35</v>
      </c>
      <c r="I67" s="2">
        <v>45792</v>
      </c>
      <c r="J67" s="1" t="s">
        <v>30</v>
      </c>
      <c r="K67" s="1" t="s">
        <v>21</v>
      </c>
      <c r="L67" s="1" t="s">
        <v>41</v>
      </c>
      <c r="M67" s="1" t="s">
        <v>45</v>
      </c>
      <c r="N67" s="3">
        <v>35</v>
      </c>
      <c r="O67" s="1" t="s">
        <v>52</v>
      </c>
    </row>
    <row r="68" spans="1:15" ht="13.8">
      <c r="A68" s="1" t="s">
        <v>112</v>
      </c>
      <c r="B68" s="1" t="s">
        <v>26</v>
      </c>
      <c r="C68" s="1" t="s">
        <v>39</v>
      </c>
      <c r="D68" s="2">
        <v>45658</v>
      </c>
      <c r="E68" s="2">
        <v>45658</v>
      </c>
      <c r="F68" s="3">
        <v>0</v>
      </c>
      <c r="G68" s="1" t="s">
        <v>34</v>
      </c>
      <c r="H68" s="1" t="s">
        <v>49</v>
      </c>
      <c r="I68" s="1"/>
      <c r="J68" s="1" t="s">
        <v>20</v>
      </c>
      <c r="K68" s="1" t="s">
        <v>21</v>
      </c>
      <c r="L68" s="1" t="s">
        <v>27</v>
      </c>
      <c r="M68" s="1" t="s">
        <v>45</v>
      </c>
      <c r="N68" s="3">
        <v>94</v>
      </c>
      <c r="O68" s="1" t="s">
        <v>24</v>
      </c>
    </row>
    <row r="69" spans="1:15" ht="13.8">
      <c r="A69" s="1" t="s">
        <v>113</v>
      </c>
      <c r="B69" s="1" t="s">
        <v>16</v>
      </c>
      <c r="C69" s="1" t="s">
        <v>17</v>
      </c>
      <c r="D69" s="2">
        <v>45674</v>
      </c>
      <c r="E69" s="2">
        <v>45841</v>
      </c>
      <c r="F69" s="3">
        <v>4291</v>
      </c>
      <c r="G69" s="1" t="s">
        <v>18</v>
      </c>
      <c r="H69" s="1" t="s">
        <v>29</v>
      </c>
      <c r="I69" s="2">
        <v>45759</v>
      </c>
      <c r="J69" s="1" t="s">
        <v>20</v>
      </c>
      <c r="K69" s="1" t="s">
        <v>21</v>
      </c>
      <c r="L69" s="1" t="s">
        <v>22</v>
      </c>
      <c r="M69" s="1" t="s">
        <v>23</v>
      </c>
      <c r="N69" s="3">
        <v>79</v>
      </c>
      <c r="O69" s="1" t="s">
        <v>52</v>
      </c>
    </row>
    <row r="70" spans="1:15" ht="13.8">
      <c r="A70" s="1" t="s">
        <v>114</v>
      </c>
      <c r="B70" s="1" t="s">
        <v>26</v>
      </c>
      <c r="C70" s="1" t="s">
        <v>39</v>
      </c>
      <c r="D70" s="2">
        <v>45934</v>
      </c>
      <c r="E70" s="2">
        <v>45934</v>
      </c>
      <c r="F70" s="3">
        <v>0</v>
      </c>
      <c r="G70" s="1" t="s">
        <v>28</v>
      </c>
      <c r="H70" s="1" t="s">
        <v>35</v>
      </c>
      <c r="I70" s="1"/>
      <c r="J70" s="1" t="s">
        <v>20</v>
      </c>
      <c r="K70" s="1" t="s">
        <v>21</v>
      </c>
      <c r="L70" s="1" t="s">
        <v>27</v>
      </c>
      <c r="M70" s="1" t="s">
        <v>23</v>
      </c>
      <c r="N70" s="3">
        <v>91</v>
      </c>
      <c r="O70" s="1" t="s">
        <v>52</v>
      </c>
    </row>
    <row r="71" spans="1:15" ht="13.8">
      <c r="A71" s="1" t="s">
        <v>115</v>
      </c>
      <c r="B71" s="1" t="s">
        <v>16</v>
      </c>
      <c r="C71" s="1" t="s">
        <v>17</v>
      </c>
      <c r="D71" s="2">
        <v>45844</v>
      </c>
      <c r="E71" s="2">
        <v>45737</v>
      </c>
      <c r="F71" s="3">
        <v>2647</v>
      </c>
      <c r="G71" s="1" t="s">
        <v>18</v>
      </c>
      <c r="H71" s="1" t="s">
        <v>49</v>
      </c>
      <c r="I71" s="2">
        <v>45876</v>
      </c>
      <c r="J71" s="1" t="s">
        <v>30</v>
      </c>
      <c r="K71" s="1" t="s">
        <v>31</v>
      </c>
      <c r="L71" s="1" t="s">
        <v>22</v>
      </c>
      <c r="M71" s="1" t="s">
        <v>45</v>
      </c>
      <c r="N71" s="3">
        <v>34</v>
      </c>
      <c r="O71" s="1" t="s">
        <v>46</v>
      </c>
    </row>
    <row r="72" spans="1:15" ht="13.8">
      <c r="A72" s="1" t="s">
        <v>116</v>
      </c>
      <c r="B72" s="1" t="s">
        <v>38</v>
      </c>
      <c r="C72" s="1" t="s">
        <v>39</v>
      </c>
      <c r="D72" s="2">
        <v>45893</v>
      </c>
      <c r="E72" s="2">
        <v>45893</v>
      </c>
      <c r="F72" s="3">
        <v>0</v>
      </c>
      <c r="G72" s="1" t="s">
        <v>28</v>
      </c>
      <c r="H72" s="1" t="s">
        <v>49</v>
      </c>
      <c r="I72" s="1"/>
      <c r="J72" s="1" t="s">
        <v>20</v>
      </c>
      <c r="K72" s="1" t="s">
        <v>43</v>
      </c>
      <c r="L72" s="1" t="s">
        <v>22</v>
      </c>
      <c r="M72" s="1" t="s">
        <v>45</v>
      </c>
      <c r="N72" s="3">
        <v>39</v>
      </c>
      <c r="O72" s="1" t="s">
        <v>46</v>
      </c>
    </row>
    <row r="73" spans="1:15" ht="13.8">
      <c r="A73" s="1" t="s">
        <v>117</v>
      </c>
      <c r="B73" s="1" t="s">
        <v>26</v>
      </c>
      <c r="C73" s="1" t="s">
        <v>39</v>
      </c>
      <c r="D73" s="2">
        <v>45668</v>
      </c>
      <c r="E73" s="2">
        <v>45668</v>
      </c>
      <c r="F73" s="3">
        <v>0</v>
      </c>
      <c r="G73" s="1" t="s">
        <v>18</v>
      </c>
      <c r="H73" s="1" t="s">
        <v>35</v>
      </c>
      <c r="I73" s="1"/>
      <c r="J73" s="1" t="s">
        <v>30</v>
      </c>
      <c r="K73" s="1" t="s">
        <v>40</v>
      </c>
      <c r="L73" s="1" t="s">
        <v>27</v>
      </c>
      <c r="M73" s="1" t="s">
        <v>45</v>
      </c>
      <c r="N73" s="3">
        <v>35</v>
      </c>
      <c r="O73" s="1" t="s">
        <v>46</v>
      </c>
    </row>
    <row r="74" spans="1:15" ht="13.8">
      <c r="A74" s="1" t="s">
        <v>118</v>
      </c>
      <c r="B74" s="1" t="s">
        <v>16</v>
      </c>
      <c r="C74" s="1" t="s">
        <v>39</v>
      </c>
      <c r="D74" s="2">
        <v>45684</v>
      </c>
      <c r="E74" s="2">
        <v>45684</v>
      </c>
      <c r="F74" s="3">
        <v>0</v>
      </c>
      <c r="G74" s="1" t="s">
        <v>34</v>
      </c>
      <c r="H74" s="1" t="s">
        <v>29</v>
      </c>
      <c r="I74" s="1"/>
      <c r="J74" s="1" t="s">
        <v>20</v>
      </c>
      <c r="K74" s="1" t="s">
        <v>43</v>
      </c>
      <c r="L74" s="1" t="s">
        <v>27</v>
      </c>
      <c r="M74" s="1" t="s">
        <v>36</v>
      </c>
      <c r="N74" s="3">
        <v>32</v>
      </c>
      <c r="O74" s="1" t="s">
        <v>46</v>
      </c>
    </row>
    <row r="75" spans="1:15" ht="13.8">
      <c r="A75" s="1" t="s">
        <v>119</v>
      </c>
      <c r="B75" s="1" t="s">
        <v>16</v>
      </c>
      <c r="C75" s="1" t="s">
        <v>17</v>
      </c>
      <c r="D75" s="2">
        <v>45683</v>
      </c>
      <c r="E75" s="2">
        <v>45912</v>
      </c>
      <c r="F75" s="3">
        <v>4535</v>
      </c>
      <c r="G75" s="1" t="s">
        <v>18</v>
      </c>
      <c r="H75" s="1" t="s">
        <v>35</v>
      </c>
      <c r="I75" s="2">
        <v>45919</v>
      </c>
      <c r="J75" s="1" t="s">
        <v>30</v>
      </c>
      <c r="K75" s="1" t="s">
        <v>21</v>
      </c>
      <c r="L75" s="1" t="s">
        <v>22</v>
      </c>
      <c r="M75" s="1" t="s">
        <v>32</v>
      </c>
      <c r="N75" s="3">
        <v>35</v>
      </c>
      <c r="O75" s="1" t="s">
        <v>24</v>
      </c>
    </row>
    <row r="76" spans="1:15" ht="13.8">
      <c r="A76" s="1" t="s">
        <v>120</v>
      </c>
      <c r="B76" s="1" t="s">
        <v>38</v>
      </c>
      <c r="C76" s="1" t="s">
        <v>17</v>
      </c>
      <c r="D76" s="2">
        <v>45844</v>
      </c>
      <c r="E76" s="4">
        <v>45942</v>
      </c>
      <c r="F76" s="3">
        <v>2087</v>
      </c>
      <c r="G76" s="1" t="s">
        <v>18</v>
      </c>
      <c r="H76" s="1" t="s">
        <v>49</v>
      </c>
      <c r="I76" s="2">
        <v>45863</v>
      </c>
      <c r="J76" s="1" t="s">
        <v>30</v>
      </c>
      <c r="K76" s="1" t="s">
        <v>31</v>
      </c>
      <c r="L76" s="1" t="s">
        <v>22</v>
      </c>
      <c r="M76" s="1" t="s">
        <v>32</v>
      </c>
      <c r="N76" s="3">
        <v>50</v>
      </c>
      <c r="O76" s="1" t="s">
        <v>24</v>
      </c>
    </row>
    <row r="77" spans="1:15" ht="13.8">
      <c r="A77" s="1" t="s">
        <v>121</v>
      </c>
      <c r="B77" s="1" t="s">
        <v>38</v>
      </c>
      <c r="C77" s="1" t="s">
        <v>17</v>
      </c>
      <c r="D77" s="2">
        <v>45703</v>
      </c>
      <c r="E77" s="2">
        <v>45935</v>
      </c>
      <c r="F77" s="3">
        <v>4647</v>
      </c>
      <c r="G77" s="1" t="s">
        <v>18</v>
      </c>
      <c r="H77" s="1" t="s">
        <v>35</v>
      </c>
      <c r="I77" s="2">
        <v>45864</v>
      </c>
      <c r="J77" s="1" t="s">
        <v>30</v>
      </c>
      <c r="K77" s="1" t="s">
        <v>31</v>
      </c>
      <c r="L77" s="1" t="s">
        <v>44</v>
      </c>
      <c r="M77" s="1" t="s">
        <v>36</v>
      </c>
      <c r="N77" s="3">
        <v>83</v>
      </c>
      <c r="O77" s="1" t="s">
        <v>52</v>
      </c>
    </row>
    <row r="78" spans="1:15" ht="13.8">
      <c r="A78" s="1" t="s">
        <v>122</v>
      </c>
      <c r="B78" s="1" t="s">
        <v>26</v>
      </c>
      <c r="C78" s="1" t="s">
        <v>39</v>
      </c>
      <c r="D78" s="2">
        <v>45698</v>
      </c>
      <c r="E78" s="2">
        <v>45698</v>
      </c>
      <c r="F78" s="3">
        <v>0</v>
      </c>
      <c r="G78" s="1" t="s">
        <v>48</v>
      </c>
      <c r="H78" s="1" t="s">
        <v>49</v>
      </c>
      <c r="I78" s="1"/>
      <c r="J78" s="1" t="s">
        <v>30</v>
      </c>
      <c r="K78" s="5" t="s">
        <v>43</v>
      </c>
      <c r="L78" s="5" t="s">
        <v>44</v>
      </c>
      <c r="M78" s="5" t="s">
        <v>32</v>
      </c>
      <c r="N78" s="6">
        <v>65</v>
      </c>
      <c r="O78" s="1" t="s">
        <v>24</v>
      </c>
    </row>
    <row r="79" spans="1:15" ht="13.8">
      <c r="A79" s="1" t="s">
        <v>123</v>
      </c>
      <c r="B79" s="1" t="s">
        <v>38</v>
      </c>
      <c r="C79" s="1" t="s">
        <v>27</v>
      </c>
      <c r="D79" s="2">
        <v>45762</v>
      </c>
      <c r="E79" s="2">
        <v>45819</v>
      </c>
      <c r="F79" s="3">
        <v>0</v>
      </c>
      <c r="G79" s="1" t="s">
        <v>18</v>
      </c>
      <c r="H79" s="1" t="s">
        <v>19</v>
      </c>
      <c r="I79" s="1"/>
      <c r="J79" s="1" t="s">
        <v>30</v>
      </c>
      <c r="K79" s="5" t="s">
        <v>40</v>
      </c>
      <c r="L79" s="5" t="s">
        <v>44</v>
      </c>
      <c r="M79" s="5" t="s">
        <v>23</v>
      </c>
      <c r="N79" s="6">
        <v>32</v>
      </c>
      <c r="O79" s="1" t="s">
        <v>46</v>
      </c>
    </row>
    <row r="80" spans="1:15" ht="13.8">
      <c r="A80" s="1" t="s">
        <v>124</v>
      </c>
      <c r="B80" s="1" t="s">
        <v>26</v>
      </c>
      <c r="C80" s="1" t="s">
        <v>39</v>
      </c>
      <c r="D80" s="2">
        <v>45890</v>
      </c>
      <c r="E80" s="2">
        <v>45890</v>
      </c>
      <c r="F80" s="3">
        <v>0</v>
      </c>
      <c r="G80" s="1" t="s">
        <v>48</v>
      </c>
      <c r="H80" s="1" t="s">
        <v>35</v>
      </c>
      <c r="I80" s="1"/>
      <c r="J80" s="1" t="s">
        <v>20</v>
      </c>
      <c r="K80" s="5" t="s">
        <v>31</v>
      </c>
      <c r="L80" s="5" t="s">
        <v>22</v>
      </c>
      <c r="M80" s="5" t="s">
        <v>23</v>
      </c>
      <c r="N80" s="6">
        <v>71</v>
      </c>
      <c r="O80" s="1" t="s">
        <v>24</v>
      </c>
    </row>
    <row r="81" spans="1:15" ht="13.8">
      <c r="A81" s="1" t="s">
        <v>125</v>
      </c>
      <c r="B81" s="1" t="s">
        <v>16</v>
      </c>
      <c r="C81" s="1" t="s">
        <v>27</v>
      </c>
      <c r="D81" s="2">
        <v>45697</v>
      </c>
      <c r="E81" s="2">
        <v>45819</v>
      </c>
      <c r="F81" s="3">
        <v>0</v>
      </c>
      <c r="G81" s="1" t="s">
        <v>48</v>
      </c>
      <c r="H81" s="1" t="s">
        <v>29</v>
      </c>
      <c r="I81" s="1"/>
      <c r="J81" s="1" t="s">
        <v>20</v>
      </c>
      <c r="K81" s="5" t="s">
        <v>40</v>
      </c>
      <c r="L81" s="5" t="s">
        <v>22</v>
      </c>
      <c r="M81" s="5" t="s">
        <v>45</v>
      </c>
      <c r="N81" s="6">
        <v>41</v>
      </c>
      <c r="O81" s="1" t="s">
        <v>46</v>
      </c>
    </row>
    <row r="82" spans="1:15" ht="13.8">
      <c r="A82" s="1" t="s">
        <v>126</v>
      </c>
      <c r="B82" s="1" t="s">
        <v>51</v>
      </c>
      <c r="C82" s="1" t="s">
        <v>17</v>
      </c>
      <c r="D82" s="2">
        <v>45740</v>
      </c>
      <c r="E82" s="2">
        <v>45924</v>
      </c>
      <c r="F82" s="3">
        <v>2568</v>
      </c>
      <c r="G82" s="1" t="s">
        <v>48</v>
      </c>
      <c r="H82" s="1" t="s">
        <v>19</v>
      </c>
      <c r="I82" s="2">
        <v>45737</v>
      </c>
      <c r="J82" s="1" t="s">
        <v>20</v>
      </c>
      <c r="K82" s="5" t="s">
        <v>21</v>
      </c>
      <c r="L82" s="5" t="s">
        <v>41</v>
      </c>
      <c r="M82" s="5" t="s">
        <v>32</v>
      </c>
      <c r="N82" s="6">
        <v>35</v>
      </c>
      <c r="O82" s="1" t="s">
        <v>24</v>
      </c>
    </row>
    <row r="83" spans="1:15" ht="13.8">
      <c r="A83" s="1" t="s">
        <v>127</v>
      </c>
      <c r="B83" s="1" t="s">
        <v>26</v>
      </c>
      <c r="C83" s="1" t="s">
        <v>27</v>
      </c>
      <c r="D83" s="4">
        <v>45940</v>
      </c>
      <c r="E83" s="2">
        <v>45827</v>
      </c>
      <c r="F83" s="3">
        <v>0</v>
      </c>
      <c r="G83" s="1" t="s">
        <v>48</v>
      </c>
      <c r="H83" s="1" t="s">
        <v>29</v>
      </c>
      <c r="I83" s="1"/>
      <c r="J83" s="1" t="s">
        <v>30</v>
      </c>
      <c r="K83" s="1" t="s">
        <v>31</v>
      </c>
      <c r="L83" s="1" t="s">
        <v>22</v>
      </c>
      <c r="M83" s="1" t="s">
        <v>23</v>
      </c>
      <c r="N83" s="3">
        <v>79</v>
      </c>
      <c r="O83" s="1" t="s">
        <v>46</v>
      </c>
    </row>
    <row r="84" spans="1:15" ht="13.8">
      <c r="A84" s="1" t="s">
        <v>128</v>
      </c>
      <c r="B84" s="1" t="s">
        <v>16</v>
      </c>
      <c r="C84" s="1" t="s">
        <v>39</v>
      </c>
      <c r="D84" s="2">
        <v>45733</v>
      </c>
      <c r="E84" s="2">
        <v>45733</v>
      </c>
      <c r="F84" s="3">
        <v>0</v>
      </c>
      <c r="G84" s="1" t="s">
        <v>48</v>
      </c>
      <c r="H84" s="1" t="s">
        <v>19</v>
      </c>
      <c r="I84" s="1"/>
      <c r="J84" s="1" t="s">
        <v>30</v>
      </c>
      <c r="K84" s="1" t="s">
        <v>31</v>
      </c>
      <c r="L84" s="1" t="s">
        <v>22</v>
      </c>
      <c r="M84" s="1" t="s">
        <v>23</v>
      </c>
      <c r="N84" s="3">
        <v>56</v>
      </c>
      <c r="O84" s="1" t="s">
        <v>24</v>
      </c>
    </row>
    <row r="85" spans="1:15" ht="13.8">
      <c r="A85" s="1" t="s">
        <v>129</v>
      </c>
      <c r="B85" s="1" t="s">
        <v>26</v>
      </c>
      <c r="C85" s="1" t="s">
        <v>17</v>
      </c>
      <c r="D85" s="2">
        <v>45808</v>
      </c>
      <c r="E85" s="2">
        <v>45772</v>
      </c>
      <c r="F85" s="3">
        <v>2447</v>
      </c>
      <c r="G85" s="1" t="s">
        <v>48</v>
      </c>
      <c r="H85" s="1" t="s">
        <v>49</v>
      </c>
      <c r="I85" s="2">
        <v>45755</v>
      </c>
      <c r="J85" s="1" t="s">
        <v>20</v>
      </c>
      <c r="K85" s="1" t="s">
        <v>21</v>
      </c>
      <c r="L85" s="1" t="s">
        <v>22</v>
      </c>
      <c r="M85" s="1" t="s">
        <v>23</v>
      </c>
      <c r="N85" s="3">
        <v>55</v>
      </c>
      <c r="O85" s="1" t="s">
        <v>52</v>
      </c>
    </row>
    <row r="86" spans="1:15" ht="13.8">
      <c r="A86" s="1" t="s">
        <v>130</v>
      </c>
      <c r="B86" s="1" t="s">
        <v>38</v>
      </c>
      <c r="C86" s="1" t="s">
        <v>17</v>
      </c>
      <c r="D86" s="2">
        <v>45834</v>
      </c>
      <c r="E86" s="2">
        <v>45700</v>
      </c>
      <c r="F86" s="3">
        <v>2304</v>
      </c>
      <c r="G86" s="1" t="s">
        <v>28</v>
      </c>
      <c r="H86" s="1" t="s">
        <v>35</v>
      </c>
      <c r="I86" s="2">
        <v>45740</v>
      </c>
      <c r="J86" s="1" t="s">
        <v>30</v>
      </c>
      <c r="K86" s="1" t="s">
        <v>21</v>
      </c>
      <c r="L86" s="1" t="s">
        <v>44</v>
      </c>
      <c r="M86" s="1" t="s">
        <v>45</v>
      </c>
      <c r="N86" s="3">
        <v>52</v>
      </c>
      <c r="O86" s="1" t="s">
        <v>52</v>
      </c>
    </row>
    <row r="87" spans="1:15" ht="13.8">
      <c r="A87" s="1" t="s">
        <v>131</v>
      </c>
      <c r="B87" s="1" t="s">
        <v>51</v>
      </c>
      <c r="C87" s="1" t="s">
        <v>27</v>
      </c>
      <c r="D87" s="2">
        <v>45873</v>
      </c>
      <c r="E87" s="2">
        <v>45830</v>
      </c>
      <c r="F87" s="3">
        <v>0</v>
      </c>
      <c r="G87" s="1" t="s">
        <v>18</v>
      </c>
      <c r="H87" s="1" t="s">
        <v>29</v>
      </c>
      <c r="I87" s="1"/>
      <c r="J87" s="1" t="s">
        <v>20</v>
      </c>
      <c r="K87" s="1" t="s">
        <v>21</v>
      </c>
      <c r="L87" s="1" t="s">
        <v>27</v>
      </c>
      <c r="M87" s="1" t="s">
        <v>32</v>
      </c>
      <c r="N87" s="3">
        <v>39</v>
      </c>
      <c r="O87" s="1" t="s">
        <v>46</v>
      </c>
    </row>
    <row r="88" spans="1:15" ht="13.8">
      <c r="A88" s="1" t="s">
        <v>132</v>
      </c>
      <c r="B88" s="1" t="s">
        <v>16</v>
      </c>
      <c r="C88" s="1" t="s">
        <v>27</v>
      </c>
      <c r="D88" s="2">
        <v>45901</v>
      </c>
      <c r="E88" s="2">
        <v>45834</v>
      </c>
      <c r="F88" s="3">
        <v>0</v>
      </c>
      <c r="G88" s="1" t="s">
        <v>48</v>
      </c>
      <c r="H88" s="1" t="s">
        <v>29</v>
      </c>
      <c r="I88" s="1"/>
      <c r="J88" s="1" t="s">
        <v>20</v>
      </c>
      <c r="K88" s="1" t="s">
        <v>21</v>
      </c>
      <c r="L88" s="1" t="s">
        <v>22</v>
      </c>
      <c r="M88" s="1" t="s">
        <v>36</v>
      </c>
      <c r="N88" s="3">
        <v>73</v>
      </c>
      <c r="O88" s="1" t="s">
        <v>46</v>
      </c>
    </row>
    <row r="89" spans="1:15" ht="13.8">
      <c r="A89" s="1" t="s">
        <v>133</v>
      </c>
      <c r="B89" s="1" t="s">
        <v>16</v>
      </c>
      <c r="C89" s="1" t="s">
        <v>17</v>
      </c>
      <c r="D89" s="2">
        <v>45676</v>
      </c>
      <c r="E89" s="2">
        <v>45679</v>
      </c>
      <c r="F89" s="3">
        <v>4173</v>
      </c>
      <c r="G89" s="1" t="s">
        <v>28</v>
      </c>
      <c r="H89" s="1" t="s">
        <v>49</v>
      </c>
      <c r="I89" s="2">
        <v>45842</v>
      </c>
      <c r="J89" s="1" t="s">
        <v>20</v>
      </c>
      <c r="K89" s="1" t="s">
        <v>21</v>
      </c>
      <c r="L89" s="1" t="s">
        <v>27</v>
      </c>
      <c r="M89" s="1" t="s">
        <v>45</v>
      </c>
      <c r="N89" s="3">
        <v>38</v>
      </c>
      <c r="O89" s="1" t="s">
        <v>24</v>
      </c>
    </row>
    <row r="90" spans="1:15" ht="13.8">
      <c r="A90" s="1" t="s">
        <v>134</v>
      </c>
      <c r="B90" s="1" t="s">
        <v>16</v>
      </c>
      <c r="C90" s="1" t="s">
        <v>39</v>
      </c>
      <c r="D90" s="2">
        <v>45890</v>
      </c>
      <c r="E90" s="2">
        <v>45890</v>
      </c>
      <c r="F90" s="3">
        <v>0</v>
      </c>
      <c r="G90" s="1" t="s">
        <v>18</v>
      </c>
      <c r="H90" s="1" t="s">
        <v>49</v>
      </c>
      <c r="I90" s="1"/>
      <c r="J90" s="1" t="s">
        <v>30</v>
      </c>
      <c r="K90" s="1" t="s">
        <v>40</v>
      </c>
      <c r="L90" s="1" t="s">
        <v>27</v>
      </c>
      <c r="M90" s="1" t="s">
        <v>23</v>
      </c>
      <c r="N90" s="3">
        <v>37</v>
      </c>
      <c r="O90" s="1" t="s">
        <v>46</v>
      </c>
    </row>
    <row r="91" spans="1:15" ht="13.8">
      <c r="A91" s="1" t="s">
        <v>135</v>
      </c>
      <c r="B91" s="1" t="s">
        <v>16</v>
      </c>
      <c r="C91" s="1" t="s">
        <v>17</v>
      </c>
      <c r="D91" s="2">
        <v>45846</v>
      </c>
      <c r="E91" s="2">
        <v>45701</v>
      </c>
      <c r="F91" s="3">
        <v>2612</v>
      </c>
      <c r="G91" s="1" t="s">
        <v>48</v>
      </c>
      <c r="H91" s="1" t="s">
        <v>29</v>
      </c>
      <c r="I91" s="2">
        <v>45705</v>
      </c>
      <c r="J91" s="1" t="s">
        <v>30</v>
      </c>
      <c r="K91" s="1" t="s">
        <v>21</v>
      </c>
      <c r="L91" s="1" t="s">
        <v>22</v>
      </c>
      <c r="M91" s="1" t="s">
        <v>32</v>
      </c>
      <c r="N91" s="3">
        <v>50</v>
      </c>
      <c r="O91" s="1" t="s">
        <v>46</v>
      </c>
    </row>
    <row r="92" spans="1:15" ht="13.8">
      <c r="A92" s="1" t="s">
        <v>136</v>
      </c>
      <c r="B92" s="1" t="s">
        <v>38</v>
      </c>
      <c r="C92" s="1" t="s">
        <v>27</v>
      </c>
      <c r="D92" s="2">
        <v>45718</v>
      </c>
      <c r="E92" s="2">
        <v>45686</v>
      </c>
      <c r="F92" s="3">
        <v>0</v>
      </c>
      <c r="G92" s="1" t="s">
        <v>48</v>
      </c>
      <c r="H92" s="1" t="s">
        <v>35</v>
      </c>
      <c r="I92" s="1"/>
      <c r="J92" s="1" t="s">
        <v>30</v>
      </c>
      <c r="K92" s="1" t="s">
        <v>40</v>
      </c>
      <c r="L92" s="1" t="s">
        <v>22</v>
      </c>
      <c r="M92" s="1" t="s">
        <v>23</v>
      </c>
      <c r="N92" s="3">
        <v>38</v>
      </c>
      <c r="O92" s="1" t="s">
        <v>24</v>
      </c>
    </row>
    <row r="93" spans="1:15" ht="13.8">
      <c r="A93" s="1" t="s">
        <v>137</v>
      </c>
      <c r="B93" s="1" t="s">
        <v>51</v>
      </c>
      <c r="C93" s="1" t="s">
        <v>27</v>
      </c>
      <c r="D93" s="2">
        <v>45938</v>
      </c>
      <c r="E93" s="2">
        <v>45883</v>
      </c>
      <c r="F93" s="3">
        <v>0</v>
      </c>
      <c r="G93" s="1" t="s">
        <v>34</v>
      </c>
      <c r="H93" s="1" t="s">
        <v>49</v>
      </c>
      <c r="I93" s="1"/>
      <c r="J93" s="1" t="s">
        <v>30</v>
      </c>
      <c r="K93" s="1" t="s">
        <v>31</v>
      </c>
      <c r="L93" s="1" t="s">
        <v>27</v>
      </c>
      <c r="M93" s="1" t="s">
        <v>32</v>
      </c>
      <c r="N93" s="3">
        <v>63</v>
      </c>
      <c r="O93" s="1" t="s">
        <v>52</v>
      </c>
    </row>
    <row r="94" spans="1:15" ht="13.8">
      <c r="A94" s="1" t="s">
        <v>138</v>
      </c>
      <c r="B94" s="1" t="s">
        <v>38</v>
      </c>
      <c r="C94" s="1" t="s">
        <v>27</v>
      </c>
      <c r="D94" s="2">
        <v>45730</v>
      </c>
      <c r="E94" s="2">
        <v>45864</v>
      </c>
      <c r="F94" s="3">
        <v>0</v>
      </c>
      <c r="G94" s="1" t="s">
        <v>34</v>
      </c>
      <c r="H94" s="1" t="s">
        <v>29</v>
      </c>
      <c r="I94" s="1"/>
      <c r="J94" s="1" t="s">
        <v>20</v>
      </c>
      <c r="K94" s="1" t="s">
        <v>31</v>
      </c>
      <c r="L94" s="1" t="s">
        <v>41</v>
      </c>
      <c r="M94" s="1" t="s">
        <v>23</v>
      </c>
      <c r="N94" s="3">
        <v>79</v>
      </c>
      <c r="O94" s="1" t="s">
        <v>52</v>
      </c>
    </row>
    <row r="95" spans="1:15" ht="13.8">
      <c r="A95" s="1" t="s">
        <v>139</v>
      </c>
      <c r="B95" s="1" t="s">
        <v>38</v>
      </c>
      <c r="C95" s="1" t="s">
        <v>17</v>
      </c>
      <c r="D95" s="2">
        <v>45718</v>
      </c>
      <c r="E95" s="2">
        <v>45884</v>
      </c>
      <c r="F95" s="3">
        <v>2572</v>
      </c>
      <c r="G95" s="1" t="s">
        <v>34</v>
      </c>
      <c r="H95" s="1" t="s">
        <v>29</v>
      </c>
      <c r="I95" s="2">
        <v>45900</v>
      </c>
      <c r="J95" s="1" t="s">
        <v>20</v>
      </c>
      <c r="K95" s="1" t="s">
        <v>43</v>
      </c>
      <c r="L95" s="1" t="s">
        <v>22</v>
      </c>
      <c r="M95" s="1" t="s">
        <v>32</v>
      </c>
      <c r="N95" s="3">
        <v>34</v>
      </c>
      <c r="O95" s="1" t="s">
        <v>52</v>
      </c>
    </row>
    <row r="96" spans="1:15" ht="13.8">
      <c r="A96" s="1" t="s">
        <v>140</v>
      </c>
      <c r="B96" s="1" t="s">
        <v>26</v>
      </c>
      <c r="C96" s="1" t="s">
        <v>27</v>
      </c>
      <c r="D96" s="2">
        <v>45787</v>
      </c>
      <c r="E96" s="2">
        <v>45661</v>
      </c>
      <c r="F96" s="3">
        <v>0</v>
      </c>
      <c r="G96" s="1" t="s">
        <v>18</v>
      </c>
      <c r="H96" s="1" t="s">
        <v>35</v>
      </c>
      <c r="I96" s="1"/>
      <c r="J96" s="1" t="s">
        <v>20</v>
      </c>
      <c r="K96" s="1" t="s">
        <v>31</v>
      </c>
      <c r="L96" s="1" t="s">
        <v>22</v>
      </c>
      <c r="M96" s="1" t="s">
        <v>45</v>
      </c>
      <c r="N96" s="3">
        <v>59</v>
      </c>
      <c r="O96" s="1" t="s">
        <v>46</v>
      </c>
    </row>
    <row r="97" spans="1:15" ht="13.8">
      <c r="A97" s="1" t="s">
        <v>141</v>
      </c>
      <c r="B97" s="1" t="s">
        <v>16</v>
      </c>
      <c r="C97" s="1" t="s">
        <v>17</v>
      </c>
      <c r="D97" s="2">
        <v>45825</v>
      </c>
      <c r="E97" s="2">
        <v>45803</v>
      </c>
      <c r="F97" s="3">
        <v>3396</v>
      </c>
      <c r="G97" s="1" t="s">
        <v>34</v>
      </c>
      <c r="H97" s="1" t="s">
        <v>49</v>
      </c>
      <c r="I97" s="2">
        <v>45834</v>
      </c>
      <c r="J97" s="1" t="s">
        <v>30</v>
      </c>
      <c r="K97" s="1" t="s">
        <v>31</v>
      </c>
      <c r="L97" s="1" t="s">
        <v>41</v>
      </c>
      <c r="M97" s="1" t="s">
        <v>32</v>
      </c>
      <c r="N97" s="3">
        <v>89</v>
      </c>
      <c r="O97" s="1" t="s">
        <v>46</v>
      </c>
    </row>
    <row r="98" spans="1:15" ht="13.8">
      <c r="A98" s="1" t="s">
        <v>142</v>
      </c>
      <c r="B98" s="1" t="s">
        <v>38</v>
      </c>
      <c r="C98" s="1" t="s">
        <v>17</v>
      </c>
      <c r="D98" s="2">
        <v>45705</v>
      </c>
      <c r="E98" s="2">
        <v>45843</v>
      </c>
      <c r="F98" s="3">
        <v>3036</v>
      </c>
      <c r="G98" s="1" t="s">
        <v>18</v>
      </c>
      <c r="H98" s="1" t="s">
        <v>35</v>
      </c>
      <c r="I98" s="2">
        <v>45757</v>
      </c>
      <c r="J98" s="1" t="s">
        <v>20</v>
      </c>
      <c r="K98" s="1" t="s">
        <v>40</v>
      </c>
      <c r="L98" s="1" t="s">
        <v>44</v>
      </c>
      <c r="M98" s="1" t="s">
        <v>32</v>
      </c>
      <c r="N98" s="3">
        <v>59</v>
      </c>
      <c r="O98" s="1" t="s">
        <v>24</v>
      </c>
    </row>
    <row r="99" spans="1:15" ht="13.8">
      <c r="A99" s="1" t="s">
        <v>143</v>
      </c>
      <c r="B99" s="1" t="s">
        <v>26</v>
      </c>
      <c r="C99" s="1" t="s">
        <v>27</v>
      </c>
      <c r="D99" s="2">
        <v>45857</v>
      </c>
      <c r="E99" s="2">
        <v>45885</v>
      </c>
      <c r="F99" s="3">
        <v>0</v>
      </c>
      <c r="G99" s="1" t="s">
        <v>34</v>
      </c>
      <c r="H99" s="1" t="s">
        <v>35</v>
      </c>
      <c r="I99" s="1"/>
      <c r="J99" s="1" t="s">
        <v>30</v>
      </c>
      <c r="K99" s="1" t="s">
        <v>43</v>
      </c>
      <c r="L99" s="1" t="s">
        <v>44</v>
      </c>
      <c r="M99" s="1" t="s">
        <v>32</v>
      </c>
      <c r="N99" s="3">
        <v>68</v>
      </c>
      <c r="O99" s="1" t="s">
        <v>52</v>
      </c>
    </row>
    <row r="100" spans="1:15" ht="13.8">
      <c r="A100" s="1" t="s">
        <v>144</v>
      </c>
      <c r="B100" s="1" t="s">
        <v>16</v>
      </c>
      <c r="C100" s="1" t="s">
        <v>39</v>
      </c>
      <c r="D100" s="2">
        <v>45926</v>
      </c>
      <c r="E100" s="2">
        <v>45926</v>
      </c>
      <c r="F100" s="3">
        <v>0</v>
      </c>
      <c r="G100" s="1" t="s">
        <v>28</v>
      </c>
      <c r="H100" s="1" t="s">
        <v>49</v>
      </c>
      <c r="I100" s="1"/>
      <c r="J100" s="1" t="s">
        <v>30</v>
      </c>
      <c r="K100" s="1" t="s">
        <v>40</v>
      </c>
      <c r="L100" s="1" t="s">
        <v>44</v>
      </c>
      <c r="M100" s="1" t="s">
        <v>23</v>
      </c>
      <c r="N100" s="3">
        <v>51</v>
      </c>
      <c r="O100" s="1" t="s">
        <v>46</v>
      </c>
    </row>
    <row r="101" spans="1:15" ht="13.8">
      <c r="A101" s="1" t="s">
        <v>145</v>
      </c>
      <c r="B101" s="1" t="s">
        <v>38</v>
      </c>
      <c r="C101" s="1" t="s">
        <v>39</v>
      </c>
      <c r="D101" s="2">
        <v>45717</v>
      </c>
      <c r="E101" s="2">
        <v>45717</v>
      </c>
      <c r="F101" s="3">
        <v>0</v>
      </c>
      <c r="G101" s="1" t="s">
        <v>48</v>
      </c>
      <c r="H101" s="1" t="s">
        <v>49</v>
      </c>
      <c r="I101" s="1"/>
      <c r="J101" s="1" t="s">
        <v>30</v>
      </c>
      <c r="K101" s="1" t="s">
        <v>21</v>
      </c>
      <c r="L101" s="1" t="s">
        <v>27</v>
      </c>
      <c r="M101" s="1" t="s">
        <v>36</v>
      </c>
      <c r="N101" s="3">
        <v>74</v>
      </c>
      <c r="O101" s="1" t="s">
        <v>46</v>
      </c>
    </row>
    <row r="102" spans="1:15" ht="13.8">
      <c r="A102" s="1" t="s">
        <v>146</v>
      </c>
      <c r="B102" s="1" t="s">
        <v>38</v>
      </c>
      <c r="C102" s="1" t="s">
        <v>17</v>
      </c>
      <c r="D102" s="2">
        <v>45814</v>
      </c>
      <c r="E102" s="2">
        <v>45703</v>
      </c>
      <c r="F102" s="3">
        <v>2411</v>
      </c>
      <c r="G102" s="1" t="s">
        <v>48</v>
      </c>
      <c r="H102" s="1" t="s">
        <v>29</v>
      </c>
      <c r="I102" s="2">
        <v>45687</v>
      </c>
      <c r="J102" s="1" t="s">
        <v>30</v>
      </c>
      <c r="K102" s="1" t="s">
        <v>40</v>
      </c>
      <c r="L102" s="1" t="s">
        <v>44</v>
      </c>
      <c r="M102" s="1" t="s">
        <v>45</v>
      </c>
      <c r="N102" s="3">
        <v>33</v>
      </c>
      <c r="O102" s="1" t="s">
        <v>24</v>
      </c>
    </row>
    <row r="103" spans="1:15" ht="13.8">
      <c r="A103" s="1" t="s">
        <v>147</v>
      </c>
      <c r="B103" s="1" t="s">
        <v>26</v>
      </c>
      <c r="C103" s="1" t="s">
        <v>27</v>
      </c>
      <c r="D103" s="2">
        <v>45665</v>
      </c>
      <c r="E103" s="2">
        <v>45877</v>
      </c>
      <c r="F103" s="3">
        <v>0</v>
      </c>
      <c r="G103" s="1" t="s">
        <v>28</v>
      </c>
      <c r="H103" s="1" t="s">
        <v>49</v>
      </c>
      <c r="I103" s="1"/>
      <c r="J103" s="1" t="s">
        <v>30</v>
      </c>
      <c r="K103" s="1" t="s">
        <v>43</v>
      </c>
      <c r="L103" s="1" t="s">
        <v>27</v>
      </c>
      <c r="M103" s="1" t="s">
        <v>45</v>
      </c>
      <c r="N103" s="3">
        <v>65</v>
      </c>
      <c r="O103" s="1" t="s">
        <v>52</v>
      </c>
    </row>
    <row r="104" spans="1:15" ht="13.8">
      <c r="A104" s="1" t="s">
        <v>148</v>
      </c>
      <c r="B104" s="1" t="s">
        <v>38</v>
      </c>
      <c r="C104" s="1" t="s">
        <v>39</v>
      </c>
      <c r="D104" s="2">
        <v>45810</v>
      </c>
      <c r="E104" s="2">
        <v>45810</v>
      </c>
      <c r="F104" s="3">
        <v>0</v>
      </c>
      <c r="G104" s="1" t="s">
        <v>48</v>
      </c>
      <c r="H104" s="1" t="s">
        <v>49</v>
      </c>
      <c r="I104" s="1"/>
      <c r="J104" s="1" t="s">
        <v>30</v>
      </c>
      <c r="K104" s="1" t="s">
        <v>43</v>
      </c>
      <c r="L104" s="1" t="s">
        <v>44</v>
      </c>
      <c r="M104" s="1" t="s">
        <v>45</v>
      </c>
      <c r="N104" s="3">
        <v>54</v>
      </c>
      <c r="O104" s="1" t="s">
        <v>46</v>
      </c>
    </row>
    <row r="105" spans="1:15" ht="13.8">
      <c r="A105" s="1" t="s">
        <v>149</v>
      </c>
      <c r="B105" s="1" t="s">
        <v>16</v>
      </c>
      <c r="C105" s="1" t="s">
        <v>27</v>
      </c>
      <c r="D105" s="2">
        <v>45838</v>
      </c>
      <c r="E105" s="2">
        <v>45747</v>
      </c>
      <c r="F105" s="3">
        <v>0</v>
      </c>
      <c r="G105" s="1" t="s">
        <v>28</v>
      </c>
      <c r="H105" s="1" t="s">
        <v>35</v>
      </c>
      <c r="I105" s="1"/>
      <c r="J105" s="1" t="s">
        <v>20</v>
      </c>
      <c r="K105" s="1" t="s">
        <v>21</v>
      </c>
      <c r="L105" s="1" t="s">
        <v>27</v>
      </c>
      <c r="M105" s="1" t="s">
        <v>23</v>
      </c>
      <c r="N105" s="3">
        <v>41</v>
      </c>
      <c r="O105" s="1" t="s">
        <v>24</v>
      </c>
    </row>
    <row r="106" spans="1:15" ht="13.8">
      <c r="A106" s="1" t="s">
        <v>150</v>
      </c>
      <c r="B106" s="1" t="s">
        <v>38</v>
      </c>
      <c r="C106" s="1" t="s">
        <v>39</v>
      </c>
      <c r="D106" s="2">
        <v>45916</v>
      </c>
      <c r="E106" s="2">
        <v>45916</v>
      </c>
      <c r="F106" s="3">
        <v>0</v>
      </c>
      <c r="G106" s="1" t="s">
        <v>34</v>
      </c>
      <c r="H106" s="1" t="s">
        <v>19</v>
      </c>
      <c r="I106" s="1"/>
      <c r="J106" s="1" t="s">
        <v>30</v>
      </c>
      <c r="K106" s="1" t="s">
        <v>21</v>
      </c>
      <c r="L106" s="1" t="s">
        <v>27</v>
      </c>
      <c r="M106" s="1" t="s">
        <v>23</v>
      </c>
      <c r="N106" s="3">
        <v>89</v>
      </c>
      <c r="O106" s="1" t="s">
        <v>52</v>
      </c>
    </row>
    <row r="107" spans="1:15" ht="13.8">
      <c r="A107" s="1" t="s">
        <v>151</v>
      </c>
      <c r="B107" s="1" t="s">
        <v>26</v>
      </c>
      <c r="C107" s="1" t="s">
        <v>39</v>
      </c>
      <c r="D107" s="2">
        <v>45789</v>
      </c>
      <c r="E107" s="2">
        <v>45789</v>
      </c>
      <c r="F107" s="3">
        <v>0</v>
      </c>
      <c r="G107" s="1" t="s">
        <v>34</v>
      </c>
      <c r="H107" s="1" t="s">
        <v>19</v>
      </c>
      <c r="I107" s="1"/>
      <c r="J107" s="1" t="s">
        <v>20</v>
      </c>
      <c r="K107" s="1" t="s">
        <v>43</v>
      </c>
      <c r="L107" s="1" t="s">
        <v>44</v>
      </c>
      <c r="M107" s="1" t="s">
        <v>23</v>
      </c>
      <c r="N107" s="3">
        <v>45</v>
      </c>
      <c r="O107" s="1" t="s">
        <v>24</v>
      </c>
    </row>
    <row r="108" spans="1:15" ht="13.8">
      <c r="A108" s="1" t="s">
        <v>152</v>
      </c>
      <c r="B108" s="1" t="s">
        <v>26</v>
      </c>
      <c r="C108" s="1" t="s">
        <v>17</v>
      </c>
      <c r="D108" s="2">
        <v>45864</v>
      </c>
      <c r="E108" s="2">
        <v>45864</v>
      </c>
      <c r="F108" s="3">
        <v>2102</v>
      </c>
      <c r="G108" s="1" t="s">
        <v>18</v>
      </c>
      <c r="H108" s="1" t="s">
        <v>35</v>
      </c>
      <c r="I108" s="2">
        <v>45920</v>
      </c>
      <c r="J108" s="1" t="s">
        <v>30</v>
      </c>
      <c r="K108" s="1" t="s">
        <v>31</v>
      </c>
      <c r="L108" s="1" t="s">
        <v>44</v>
      </c>
      <c r="M108" s="1" t="s">
        <v>45</v>
      </c>
      <c r="N108" s="3">
        <v>65</v>
      </c>
      <c r="O108" s="1" t="s">
        <v>52</v>
      </c>
    </row>
    <row r="109" spans="1:15" ht="13.8">
      <c r="A109" s="1" t="s">
        <v>153</v>
      </c>
      <c r="B109" s="1" t="s">
        <v>26</v>
      </c>
      <c r="C109" s="1" t="s">
        <v>27</v>
      </c>
      <c r="D109" s="2">
        <v>45794</v>
      </c>
      <c r="E109" s="2">
        <v>45880</v>
      </c>
      <c r="F109" s="3">
        <v>0</v>
      </c>
      <c r="G109" s="1" t="s">
        <v>48</v>
      </c>
      <c r="H109" s="1" t="s">
        <v>49</v>
      </c>
      <c r="I109" s="1"/>
      <c r="J109" s="1" t="s">
        <v>20</v>
      </c>
      <c r="K109" s="1" t="s">
        <v>31</v>
      </c>
      <c r="L109" s="1" t="s">
        <v>27</v>
      </c>
      <c r="M109" s="1" t="s">
        <v>32</v>
      </c>
      <c r="N109" s="3">
        <v>31</v>
      </c>
      <c r="O109" s="1" t="s">
        <v>24</v>
      </c>
    </row>
    <row r="110" spans="1:15" ht="13.8">
      <c r="A110" s="1" t="s">
        <v>154</v>
      </c>
      <c r="B110" s="1" t="s">
        <v>51</v>
      </c>
      <c r="C110" s="1" t="s">
        <v>27</v>
      </c>
      <c r="D110" s="2">
        <v>45814</v>
      </c>
      <c r="E110" s="2">
        <v>45895</v>
      </c>
      <c r="F110" s="3">
        <v>0</v>
      </c>
      <c r="G110" s="1" t="s">
        <v>48</v>
      </c>
      <c r="H110" s="1" t="s">
        <v>49</v>
      </c>
      <c r="I110" s="1"/>
      <c r="J110" s="1" t="s">
        <v>20</v>
      </c>
      <c r="K110" s="1" t="s">
        <v>31</v>
      </c>
      <c r="L110" s="1" t="s">
        <v>41</v>
      </c>
      <c r="M110" s="1" t="s">
        <v>23</v>
      </c>
      <c r="N110" s="3">
        <v>30</v>
      </c>
      <c r="O110" s="1" t="s">
        <v>24</v>
      </c>
    </row>
    <row r="111" spans="1:15" ht="13.8">
      <c r="A111" s="1" t="s">
        <v>155</v>
      </c>
      <c r="B111" s="1" t="s">
        <v>51</v>
      </c>
      <c r="C111" s="1" t="s">
        <v>39</v>
      </c>
      <c r="D111" s="2">
        <v>45883</v>
      </c>
      <c r="E111" s="2">
        <v>45883</v>
      </c>
      <c r="F111" s="3">
        <v>0</v>
      </c>
      <c r="G111" s="1" t="s">
        <v>18</v>
      </c>
      <c r="H111" s="1" t="s">
        <v>49</v>
      </c>
      <c r="I111" s="1"/>
      <c r="J111" s="1" t="s">
        <v>20</v>
      </c>
      <c r="K111" s="1" t="s">
        <v>31</v>
      </c>
      <c r="L111" s="1" t="s">
        <v>22</v>
      </c>
      <c r="M111" s="1" t="s">
        <v>23</v>
      </c>
      <c r="N111" s="3">
        <v>41</v>
      </c>
      <c r="O111" s="1" t="s">
        <v>52</v>
      </c>
    </row>
    <row r="112" spans="1:15" ht="13.8">
      <c r="A112" s="1" t="s">
        <v>156</v>
      </c>
      <c r="B112" s="1" t="s">
        <v>51</v>
      </c>
      <c r="C112" s="1" t="s">
        <v>39</v>
      </c>
      <c r="D112" s="2">
        <v>45744</v>
      </c>
      <c r="E112" s="2">
        <v>45744</v>
      </c>
      <c r="F112" s="3">
        <v>0</v>
      </c>
      <c r="G112" s="1" t="s">
        <v>34</v>
      </c>
      <c r="H112" s="1" t="s">
        <v>49</v>
      </c>
      <c r="I112" s="1"/>
      <c r="J112" s="1" t="s">
        <v>30</v>
      </c>
      <c r="K112" s="1" t="s">
        <v>40</v>
      </c>
      <c r="L112" s="1" t="s">
        <v>44</v>
      </c>
      <c r="M112" s="1" t="s">
        <v>23</v>
      </c>
      <c r="N112" s="3">
        <v>75</v>
      </c>
      <c r="O112" s="1" t="s">
        <v>24</v>
      </c>
    </row>
    <row r="113" spans="1:15" ht="13.8">
      <c r="A113" s="1" t="s">
        <v>157</v>
      </c>
      <c r="B113" s="1" t="s">
        <v>38</v>
      </c>
      <c r="C113" s="1" t="s">
        <v>27</v>
      </c>
      <c r="D113" s="2">
        <v>45665</v>
      </c>
      <c r="E113" s="2">
        <v>45710</v>
      </c>
      <c r="F113" s="3">
        <v>0</v>
      </c>
      <c r="G113" s="1" t="s">
        <v>34</v>
      </c>
      <c r="H113" s="1" t="s">
        <v>19</v>
      </c>
      <c r="I113" s="1"/>
      <c r="J113" s="1" t="s">
        <v>20</v>
      </c>
      <c r="K113" s="1" t="s">
        <v>21</v>
      </c>
      <c r="L113" s="1" t="s">
        <v>27</v>
      </c>
      <c r="M113" s="1" t="s">
        <v>32</v>
      </c>
      <c r="N113" s="3">
        <v>88</v>
      </c>
      <c r="O113" s="1" t="s">
        <v>52</v>
      </c>
    </row>
    <row r="114" spans="1:15" ht="13.8">
      <c r="A114" s="1" t="s">
        <v>158</v>
      </c>
      <c r="B114" s="1" t="s">
        <v>16</v>
      </c>
      <c r="C114" s="1" t="s">
        <v>39</v>
      </c>
      <c r="D114" s="2">
        <v>45828</v>
      </c>
      <c r="E114" s="2">
        <v>45828</v>
      </c>
      <c r="F114" s="3">
        <v>0</v>
      </c>
      <c r="G114" s="1" t="s">
        <v>28</v>
      </c>
      <c r="H114" s="1" t="s">
        <v>19</v>
      </c>
      <c r="I114" s="1"/>
      <c r="J114" s="1" t="s">
        <v>20</v>
      </c>
      <c r="K114" s="1" t="s">
        <v>43</v>
      </c>
      <c r="L114" s="1" t="s">
        <v>22</v>
      </c>
      <c r="M114" s="1" t="s">
        <v>32</v>
      </c>
      <c r="N114" s="3">
        <v>33</v>
      </c>
      <c r="O114" s="1" t="s">
        <v>24</v>
      </c>
    </row>
    <row r="115" spans="1:15" ht="13.8">
      <c r="A115" s="1" t="s">
        <v>159</v>
      </c>
      <c r="B115" s="1" t="s">
        <v>38</v>
      </c>
      <c r="C115" s="1" t="s">
        <v>39</v>
      </c>
      <c r="D115" s="2">
        <v>45719</v>
      </c>
      <c r="E115" s="2">
        <v>45719</v>
      </c>
      <c r="F115" s="3">
        <v>0</v>
      </c>
      <c r="G115" s="1" t="s">
        <v>34</v>
      </c>
      <c r="H115" s="1" t="s">
        <v>49</v>
      </c>
      <c r="I115" s="1"/>
      <c r="J115" s="1" t="s">
        <v>30</v>
      </c>
      <c r="K115" s="1" t="s">
        <v>40</v>
      </c>
      <c r="L115" s="1" t="s">
        <v>27</v>
      </c>
      <c r="M115" s="1" t="s">
        <v>32</v>
      </c>
      <c r="N115" s="3">
        <v>68</v>
      </c>
      <c r="O115" s="1" t="s">
        <v>46</v>
      </c>
    </row>
    <row r="116" spans="1:15" ht="13.8">
      <c r="A116" s="1" t="s">
        <v>160</v>
      </c>
      <c r="B116" s="1" t="s">
        <v>16</v>
      </c>
      <c r="C116" s="1" t="s">
        <v>17</v>
      </c>
      <c r="D116" s="2">
        <v>45799</v>
      </c>
      <c r="E116" s="2">
        <v>45819</v>
      </c>
      <c r="F116" s="3">
        <v>2737</v>
      </c>
      <c r="G116" s="1" t="s">
        <v>48</v>
      </c>
      <c r="H116" s="1" t="s">
        <v>35</v>
      </c>
      <c r="I116" s="2">
        <v>45894</v>
      </c>
      <c r="J116" s="1" t="s">
        <v>30</v>
      </c>
      <c r="K116" s="1" t="s">
        <v>31</v>
      </c>
      <c r="L116" s="1" t="s">
        <v>27</v>
      </c>
      <c r="M116" s="1" t="s">
        <v>32</v>
      </c>
      <c r="N116" s="3">
        <v>50</v>
      </c>
      <c r="O116" s="1" t="s">
        <v>46</v>
      </c>
    </row>
    <row r="117" spans="1:15" ht="13.8">
      <c r="A117" s="1" t="s">
        <v>161</v>
      </c>
      <c r="B117" s="1" t="s">
        <v>51</v>
      </c>
      <c r="C117" s="1" t="s">
        <v>17</v>
      </c>
      <c r="D117" s="2">
        <v>45835</v>
      </c>
      <c r="E117" s="2">
        <v>45699</v>
      </c>
      <c r="F117" s="3">
        <v>4764</v>
      </c>
      <c r="G117" s="1" t="s">
        <v>28</v>
      </c>
      <c r="H117" s="1" t="s">
        <v>29</v>
      </c>
      <c r="I117" s="2">
        <v>45779</v>
      </c>
      <c r="J117" s="1" t="s">
        <v>20</v>
      </c>
      <c r="K117" s="1" t="s">
        <v>40</v>
      </c>
      <c r="L117" s="1" t="s">
        <v>22</v>
      </c>
      <c r="M117" s="1" t="s">
        <v>32</v>
      </c>
      <c r="N117" s="3">
        <v>52</v>
      </c>
      <c r="O117" s="1" t="s">
        <v>52</v>
      </c>
    </row>
    <row r="118" spans="1:15" ht="13.8">
      <c r="A118" s="1" t="s">
        <v>162</v>
      </c>
      <c r="B118" s="1" t="s">
        <v>38</v>
      </c>
      <c r="C118" s="1" t="s">
        <v>39</v>
      </c>
      <c r="D118" s="2">
        <v>45823</v>
      </c>
      <c r="E118" s="2">
        <v>45823</v>
      </c>
      <c r="F118" s="3">
        <v>0</v>
      </c>
      <c r="G118" s="1" t="s">
        <v>34</v>
      </c>
      <c r="H118" s="1" t="s">
        <v>49</v>
      </c>
      <c r="I118" s="1"/>
      <c r="J118" s="1" t="s">
        <v>20</v>
      </c>
      <c r="K118" s="1" t="s">
        <v>31</v>
      </c>
      <c r="L118" s="1" t="s">
        <v>41</v>
      </c>
      <c r="M118" s="1" t="s">
        <v>36</v>
      </c>
      <c r="N118" s="3">
        <v>90</v>
      </c>
      <c r="O118" s="1" t="s">
        <v>46</v>
      </c>
    </row>
    <row r="119" spans="1:15" ht="13.8">
      <c r="A119" s="1" t="s">
        <v>163</v>
      </c>
      <c r="B119" s="1" t="s">
        <v>26</v>
      </c>
      <c r="C119" s="1" t="s">
        <v>27</v>
      </c>
      <c r="D119" s="2">
        <v>45815</v>
      </c>
      <c r="E119" s="2">
        <v>45837</v>
      </c>
      <c r="F119" s="3">
        <v>0</v>
      </c>
      <c r="G119" s="1" t="s">
        <v>34</v>
      </c>
      <c r="H119" s="1" t="s">
        <v>49</v>
      </c>
      <c r="I119" s="1"/>
      <c r="J119" s="1" t="s">
        <v>30</v>
      </c>
      <c r="K119" s="1" t="s">
        <v>40</v>
      </c>
      <c r="L119" s="1" t="s">
        <v>27</v>
      </c>
      <c r="M119" s="1" t="s">
        <v>36</v>
      </c>
      <c r="N119" s="3">
        <v>78</v>
      </c>
      <c r="O119" s="1" t="s">
        <v>52</v>
      </c>
    </row>
    <row r="120" spans="1:15" ht="13.8">
      <c r="A120" s="1" t="s">
        <v>164</v>
      </c>
      <c r="B120" s="1" t="s">
        <v>51</v>
      </c>
      <c r="C120" s="1" t="s">
        <v>17</v>
      </c>
      <c r="D120" s="2">
        <v>45682</v>
      </c>
      <c r="E120" s="4">
        <v>45944</v>
      </c>
      <c r="F120" s="3">
        <v>4867</v>
      </c>
      <c r="G120" s="1" t="s">
        <v>48</v>
      </c>
      <c r="H120" s="1" t="s">
        <v>49</v>
      </c>
      <c r="I120" s="2">
        <v>45821</v>
      </c>
      <c r="J120" s="1" t="s">
        <v>20</v>
      </c>
      <c r="K120" s="1" t="s">
        <v>40</v>
      </c>
      <c r="L120" s="1" t="s">
        <v>27</v>
      </c>
      <c r="M120" s="1" t="s">
        <v>32</v>
      </c>
      <c r="N120" s="3">
        <v>38</v>
      </c>
      <c r="O120" s="1" t="s">
        <v>52</v>
      </c>
    </row>
    <row r="121" spans="1:15" ht="13.8">
      <c r="A121" s="1" t="s">
        <v>165</v>
      </c>
      <c r="B121" s="1" t="s">
        <v>38</v>
      </c>
      <c r="C121" s="1" t="s">
        <v>39</v>
      </c>
      <c r="D121" s="2">
        <v>45722</v>
      </c>
      <c r="E121" s="2">
        <v>45722</v>
      </c>
      <c r="F121" s="3">
        <v>0</v>
      </c>
      <c r="G121" s="1" t="s">
        <v>34</v>
      </c>
      <c r="H121" s="1" t="s">
        <v>49</v>
      </c>
      <c r="I121" s="1"/>
      <c r="J121" s="1" t="s">
        <v>30</v>
      </c>
      <c r="K121" s="1" t="s">
        <v>31</v>
      </c>
      <c r="L121" s="1" t="s">
        <v>27</v>
      </c>
      <c r="M121" s="1" t="s">
        <v>32</v>
      </c>
      <c r="N121" s="3">
        <v>89</v>
      </c>
      <c r="O121" s="1" t="s">
        <v>52</v>
      </c>
    </row>
    <row r="122" spans="1:15" ht="13.8">
      <c r="A122" s="1" t="s">
        <v>166</v>
      </c>
      <c r="B122" s="1" t="s">
        <v>51</v>
      </c>
      <c r="C122" s="1" t="s">
        <v>39</v>
      </c>
      <c r="D122" s="2">
        <v>45759</v>
      </c>
      <c r="E122" s="2">
        <v>45759</v>
      </c>
      <c r="F122" s="3">
        <v>0</v>
      </c>
      <c r="G122" s="1" t="s">
        <v>18</v>
      </c>
      <c r="H122" s="1" t="s">
        <v>19</v>
      </c>
      <c r="I122" s="1"/>
      <c r="J122" s="1" t="s">
        <v>30</v>
      </c>
      <c r="K122" s="1" t="s">
        <v>43</v>
      </c>
      <c r="L122" s="1" t="s">
        <v>27</v>
      </c>
      <c r="M122" s="1" t="s">
        <v>23</v>
      </c>
      <c r="N122" s="3">
        <v>56</v>
      </c>
      <c r="O122" s="1" t="s">
        <v>24</v>
      </c>
    </row>
    <row r="123" spans="1:15" ht="13.8">
      <c r="A123" s="1" t="s">
        <v>167</v>
      </c>
      <c r="B123" s="1" t="s">
        <v>38</v>
      </c>
      <c r="C123" s="1" t="s">
        <v>17</v>
      </c>
      <c r="D123" s="2">
        <v>45937</v>
      </c>
      <c r="E123" s="2">
        <v>45786</v>
      </c>
      <c r="F123" s="3">
        <v>3765</v>
      </c>
      <c r="G123" s="1" t="s">
        <v>18</v>
      </c>
      <c r="H123" s="1" t="s">
        <v>49</v>
      </c>
      <c r="I123" s="2">
        <v>45919</v>
      </c>
      <c r="J123" s="1" t="s">
        <v>30</v>
      </c>
      <c r="K123" s="1" t="s">
        <v>40</v>
      </c>
      <c r="L123" s="1" t="s">
        <v>44</v>
      </c>
      <c r="M123" s="1" t="s">
        <v>32</v>
      </c>
      <c r="N123" s="3">
        <v>69</v>
      </c>
      <c r="O123" s="1" t="s">
        <v>24</v>
      </c>
    </row>
    <row r="124" spans="1:15" ht="13.8">
      <c r="A124" s="1" t="s">
        <v>168</v>
      </c>
      <c r="B124" s="1" t="s">
        <v>38</v>
      </c>
      <c r="C124" s="1" t="s">
        <v>27</v>
      </c>
      <c r="D124" s="2">
        <v>45913</v>
      </c>
      <c r="E124" s="2">
        <v>45920</v>
      </c>
      <c r="F124" s="3">
        <v>0</v>
      </c>
      <c r="G124" s="1" t="s">
        <v>48</v>
      </c>
      <c r="H124" s="1" t="s">
        <v>29</v>
      </c>
      <c r="I124" s="1"/>
      <c r="J124" s="1" t="s">
        <v>30</v>
      </c>
      <c r="K124" s="1" t="s">
        <v>40</v>
      </c>
      <c r="L124" s="1" t="s">
        <v>22</v>
      </c>
      <c r="M124" s="1" t="s">
        <v>23</v>
      </c>
      <c r="N124" s="3">
        <v>94</v>
      </c>
      <c r="O124" s="1" t="s">
        <v>46</v>
      </c>
    </row>
    <row r="125" spans="1:15" ht="13.8">
      <c r="A125" s="1" t="s">
        <v>169</v>
      </c>
      <c r="B125" s="1" t="s">
        <v>51</v>
      </c>
      <c r="C125" s="1" t="s">
        <v>27</v>
      </c>
      <c r="D125" s="2">
        <v>45718</v>
      </c>
      <c r="E125" s="2">
        <v>45684</v>
      </c>
      <c r="F125" s="3">
        <v>0</v>
      </c>
      <c r="G125" s="1" t="s">
        <v>34</v>
      </c>
      <c r="H125" s="1" t="s">
        <v>29</v>
      </c>
      <c r="I125" s="1"/>
      <c r="J125" s="1" t="s">
        <v>30</v>
      </c>
      <c r="K125" s="1" t="s">
        <v>40</v>
      </c>
      <c r="L125" s="1" t="s">
        <v>44</v>
      </c>
      <c r="M125" s="1" t="s">
        <v>32</v>
      </c>
      <c r="N125" s="3">
        <v>34</v>
      </c>
      <c r="O125" s="1" t="s">
        <v>46</v>
      </c>
    </row>
    <row r="126" spans="1:15" ht="13.8">
      <c r="A126" s="1" t="s">
        <v>170</v>
      </c>
      <c r="B126" s="1" t="s">
        <v>38</v>
      </c>
      <c r="C126" s="1" t="s">
        <v>17</v>
      </c>
      <c r="D126" s="2">
        <v>45693</v>
      </c>
      <c r="E126" s="4">
        <v>45941</v>
      </c>
      <c r="F126" s="3">
        <v>4203</v>
      </c>
      <c r="G126" s="1" t="s">
        <v>48</v>
      </c>
      <c r="H126" s="1" t="s">
        <v>19</v>
      </c>
      <c r="I126" s="2">
        <v>45750</v>
      </c>
      <c r="J126" s="1" t="s">
        <v>20</v>
      </c>
      <c r="K126" s="1" t="s">
        <v>43</v>
      </c>
      <c r="L126" s="1" t="s">
        <v>27</v>
      </c>
      <c r="M126" s="1" t="s">
        <v>32</v>
      </c>
      <c r="N126" s="3">
        <v>52</v>
      </c>
      <c r="O126" s="1" t="s">
        <v>46</v>
      </c>
    </row>
    <row r="127" spans="1:15" ht="13.8">
      <c r="A127" s="1" t="s">
        <v>171</v>
      </c>
      <c r="B127" s="1" t="s">
        <v>51</v>
      </c>
      <c r="C127" s="1" t="s">
        <v>39</v>
      </c>
      <c r="D127" s="2">
        <v>45879</v>
      </c>
      <c r="E127" s="2">
        <v>45879</v>
      </c>
      <c r="F127" s="3">
        <v>0</v>
      </c>
      <c r="G127" s="1" t="s">
        <v>28</v>
      </c>
      <c r="H127" s="1" t="s">
        <v>29</v>
      </c>
      <c r="I127" s="1"/>
      <c r="J127" s="1" t="s">
        <v>30</v>
      </c>
      <c r="K127" s="1" t="s">
        <v>31</v>
      </c>
      <c r="L127" s="1" t="s">
        <v>44</v>
      </c>
      <c r="M127" s="1" t="s">
        <v>23</v>
      </c>
      <c r="N127" s="3">
        <v>94</v>
      </c>
      <c r="O127" s="1" t="s">
        <v>46</v>
      </c>
    </row>
    <row r="128" spans="1:15" ht="13.8">
      <c r="A128" s="1" t="s">
        <v>172</v>
      </c>
      <c r="B128" s="1" t="s">
        <v>26</v>
      </c>
      <c r="C128" s="1" t="s">
        <v>17</v>
      </c>
      <c r="D128" s="2">
        <v>45816</v>
      </c>
      <c r="E128" s="2">
        <v>45676</v>
      </c>
      <c r="F128" s="3">
        <v>3566</v>
      </c>
      <c r="G128" s="1" t="s">
        <v>48</v>
      </c>
      <c r="H128" s="1" t="s">
        <v>19</v>
      </c>
      <c r="I128" s="2">
        <v>45667</v>
      </c>
      <c r="J128" s="1" t="s">
        <v>30</v>
      </c>
      <c r="K128" s="1" t="s">
        <v>43</v>
      </c>
      <c r="L128" s="1" t="s">
        <v>27</v>
      </c>
      <c r="M128" s="1" t="s">
        <v>45</v>
      </c>
      <c r="N128" s="3">
        <v>75</v>
      </c>
      <c r="O128" s="1" t="s">
        <v>52</v>
      </c>
    </row>
    <row r="129" spans="1:17" ht="13.8">
      <c r="A129" s="1" t="s">
        <v>173</v>
      </c>
      <c r="B129" s="1" t="s">
        <v>16</v>
      </c>
      <c r="C129" s="1" t="s">
        <v>39</v>
      </c>
      <c r="D129" s="2">
        <v>45906</v>
      </c>
      <c r="E129" s="2">
        <v>45906</v>
      </c>
      <c r="F129" s="3">
        <v>0</v>
      </c>
      <c r="G129" s="1" t="s">
        <v>48</v>
      </c>
      <c r="H129" s="1" t="s">
        <v>35</v>
      </c>
      <c r="I129" s="1"/>
      <c r="J129" s="1" t="s">
        <v>30</v>
      </c>
      <c r="K129" s="1" t="s">
        <v>40</v>
      </c>
      <c r="L129" s="1" t="s">
        <v>27</v>
      </c>
      <c r="M129" s="1" t="s">
        <v>23</v>
      </c>
      <c r="N129" s="3">
        <v>55</v>
      </c>
      <c r="O129" s="1" t="s">
        <v>24</v>
      </c>
    </row>
    <row r="130" spans="1:17" ht="13.8">
      <c r="A130" s="1" t="s">
        <v>174</v>
      </c>
      <c r="B130" s="1" t="s">
        <v>16</v>
      </c>
      <c r="C130" s="1" t="s">
        <v>39</v>
      </c>
      <c r="D130" s="2">
        <v>45748</v>
      </c>
      <c r="E130" s="2">
        <v>45748</v>
      </c>
      <c r="F130" s="3">
        <v>0</v>
      </c>
      <c r="G130" s="1" t="s">
        <v>34</v>
      </c>
      <c r="H130" s="1" t="s">
        <v>49</v>
      </c>
      <c r="I130" s="1"/>
      <c r="J130" s="1" t="s">
        <v>20</v>
      </c>
      <c r="K130" s="1" t="s">
        <v>40</v>
      </c>
      <c r="L130" s="1" t="s">
        <v>44</v>
      </c>
      <c r="M130" s="1" t="s">
        <v>23</v>
      </c>
      <c r="N130" s="3">
        <v>47</v>
      </c>
      <c r="O130" s="1" t="s">
        <v>52</v>
      </c>
    </row>
    <row r="131" spans="1:17" ht="13.8">
      <c r="A131" s="1" t="s">
        <v>175</v>
      </c>
      <c r="B131" s="1" t="s">
        <v>38</v>
      </c>
      <c r="C131" s="1" t="s">
        <v>17</v>
      </c>
      <c r="D131" s="2">
        <v>45793</v>
      </c>
      <c r="E131" s="2">
        <v>45850</v>
      </c>
      <c r="F131" s="3">
        <v>2007</v>
      </c>
      <c r="G131" s="1" t="s">
        <v>28</v>
      </c>
      <c r="H131" s="1" t="s">
        <v>35</v>
      </c>
      <c r="I131" s="2">
        <v>45824</v>
      </c>
      <c r="J131" s="1" t="s">
        <v>20</v>
      </c>
      <c r="K131" s="1" t="s">
        <v>43</v>
      </c>
      <c r="L131" s="1" t="s">
        <v>44</v>
      </c>
      <c r="M131" s="1" t="s">
        <v>23</v>
      </c>
      <c r="N131" s="3">
        <v>80</v>
      </c>
      <c r="O131" s="1" t="s">
        <v>46</v>
      </c>
      <c r="Q131" t="str" cm="1">
        <f t="array" ref="Q131:Q632">_xlfn.UNIQUE(A:A)</f>
        <v>Lead ID</v>
      </c>
    </row>
    <row r="132" spans="1:17" ht="13.8">
      <c r="A132" s="1" t="s">
        <v>176</v>
      </c>
      <c r="B132" s="1" t="s">
        <v>16</v>
      </c>
      <c r="C132" s="1" t="s">
        <v>39</v>
      </c>
      <c r="D132" s="2">
        <v>45836</v>
      </c>
      <c r="E132" s="2">
        <v>45836</v>
      </c>
      <c r="F132" s="3">
        <v>0</v>
      </c>
      <c r="G132" s="1" t="s">
        <v>34</v>
      </c>
      <c r="H132" s="1" t="s">
        <v>35</v>
      </c>
      <c r="I132" s="1"/>
      <c r="J132" s="1" t="s">
        <v>30</v>
      </c>
      <c r="K132" s="1" t="s">
        <v>40</v>
      </c>
      <c r="L132" s="1" t="s">
        <v>27</v>
      </c>
      <c r="M132" s="1" t="s">
        <v>32</v>
      </c>
      <c r="N132" s="3">
        <v>76</v>
      </c>
      <c r="O132" s="1" t="s">
        <v>24</v>
      </c>
      <c r="Q132" t="str">
        <v>d57ca4ab-bef9-4e4c-8c94-3419a43fd6c7</v>
      </c>
    </row>
    <row r="133" spans="1:17" ht="13.8">
      <c r="A133" s="1" t="s">
        <v>177</v>
      </c>
      <c r="B133" s="1" t="s">
        <v>16</v>
      </c>
      <c r="C133" s="1" t="s">
        <v>27</v>
      </c>
      <c r="D133" s="2">
        <v>45685</v>
      </c>
      <c r="E133" s="2">
        <v>45829</v>
      </c>
      <c r="F133" s="3">
        <v>0</v>
      </c>
      <c r="G133" s="1" t="s">
        <v>18</v>
      </c>
      <c r="H133" s="1" t="s">
        <v>19</v>
      </c>
      <c r="I133" s="1"/>
      <c r="J133" s="1" t="s">
        <v>20</v>
      </c>
      <c r="K133" s="1" t="s">
        <v>31</v>
      </c>
      <c r="L133" s="1" t="s">
        <v>22</v>
      </c>
      <c r="M133" s="1" t="s">
        <v>36</v>
      </c>
      <c r="N133" s="3">
        <v>91</v>
      </c>
      <c r="O133" s="1" t="s">
        <v>46</v>
      </c>
      <c r="Q133" t="str">
        <v>79f47ede-0eac-44d3-a839-db1460f381d4</v>
      </c>
    </row>
    <row r="134" spans="1:17" ht="13.8">
      <c r="A134" s="1" t="s">
        <v>178</v>
      </c>
      <c r="B134" s="1" t="s">
        <v>16</v>
      </c>
      <c r="C134" s="1" t="s">
        <v>39</v>
      </c>
      <c r="D134" s="2">
        <v>45811</v>
      </c>
      <c r="E134" s="2">
        <v>45811</v>
      </c>
      <c r="F134" s="3">
        <v>0</v>
      </c>
      <c r="G134" s="1" t="s">
        <v>48</v>
      </c>
      <c r="H134" s="1" t="s">
        <v>35</v>
      </c>
      <c r="I134" s="1"/>
      <c r="J134" s="1" t="s">
        <v>30</v>
      </c>
      <c r="K134" s="1" t="s">
        <v>21</v>
      </c>
      <c r="L134" s="1" t="s">
        <v>27</v>
      </c>
      <c r="M134" s="1" t="s">
        <v>36</v>
      </c>
      <c r="N134" s="3">
        <v>67</v>
      </c>
      <c r="O134" s="1" t="s">
        <v>52</v>
      </c>
      <c r="Q134" t="str">
        <v>80194ef6-0215-4b39-b7f6-cae9e2f15e62</v>
      </c>
    </row>
    <row r="135" spans="1:17" ht="13.8">
      <c r="A135" s="1" t="s">
        <v>179</v>
      </c>
      <c r="B135" s="1" t="s">
        <v>16</v>
      </c>
      <c r="C135" s="1" t="s">
        <v>17</v>
      </c>
      <c r="D135" s="2">
        <v>45808</v>
      </c>
      <c r="E135" s="2">
        <v>45886</v>
      </c>
      <c r="F135" s="3">
        <v>3459</v>
      </c>
      <c r="G135" s="1" t="s">
        <v>28</v>
      </c>
      <c r="H135" s="1" t="s">
        <v>35</v>
      </c>
      <c r="I135" s="2">
        <v>45829</v>
      </c>
      <c r="J135" s="1" t="s">
        <v>20</v>
      </c>
      <c r="K135" s="1" t="s">
        <v>21</v>
      </c>
      <c r="L135" s="1" t="s">
        <v>27</v>
      </c>
      <c r="M135" s="1" t="s">
        <v>36</v>
      </c>
      <c r="N135" s="3">
        <v>30</v>
      </c>
      <c r="O135" s="1" t="s">
        <v>52</v>
      </c>
      <c r="Q135" t="str">
        <v>a69e0f1f-e947-4785-9019-21417898987e</v>
      </c>
    </row>
    <row r="136" spans="1:17" ht="13.8">
      <c r="A136" s="1" t="s">
        <v>180</v>
      </c>
      <c r="B136" s="1" t="s">
        <v>16</v>
      </c>
      <c r="C136" s="1" t="s">
        <v>17</v>
      </c>
      <c r="D136" s="2">
        <v>45673</v>
      </c>
      <c r="E136" s="2">
        <v>45700</v>
      </c>
      <c r="F136" s="3">
        <v>4475</v>
      </c>
      <c r="G136" s="1" t="s">
        <v>34</v>
      </c>
      <c r="H136" s="1" t="s">
        <v>35</v>
      </c>
      <c r="I136" s="2">
        <v>45905</v>
      </c>
      <c r="J136" s="1" t="s">
        <v>30</v>
      </c>
      <c r="K136" s="1" t="s">
        <v>31</v>
      </c>
      <c r="L136" s="1" t="s">
        <v>27</v>
      </c>
      <c r="M136" s="1" t="s">
        <v>32</v>
      </c>
      <c r="N136" s="3">
        <v>39</v>
      </c>
      <c r="O136" s="1" t="s">
        <v>46</v>
      </c>
      <c r="Q136" t="str">
        <v>cab9ce19-a08c-4892-8555-a5416ad2f566</v>
      </c>
    </row>
    <row r="137" spans="1:17" ht="13.8">
      <c r="A137" s="1" t="s">
        <v>181</v>
      </c>
      <c r="B137" s="1" t="s">
        <v>51</v>
      </c>
      <c r="C137" s="1" t="s">
        <v>39</v>
      </c>
      <c r="D137" s="2">
        <v>45901</v>
      </c>
      <c r="E137" s="2">
        <v>45901</v>
      </c>
      <c r="F137" s="3">
        <v>0</v>
      </c>
      <c r="G137" s="1" t="s">
        <v>28</v>
      </c>
      <c r="H137" s="1" t="s">
        <v>49</v>
      </c>
      <c r="I137" s="1"/>
      <c r="J137" s="1" t="s">
        <v>30</v>
      </c>
      <c r="K137" s="1" t="s">
        <v>40</v>
      </c>
      <c r="L137" s="1" t="s">
        <v>44</v>
      </c>
      <c r="M137" s="1" t="s">
        <v>32</v>
      </c>
      <c r="N137" s="3">
        <v>69</v>
      </c>
      <c r="O137" s="1" t="s">
        <v>24</v>
      </c>
      <c r="Q137" t="str">
        <v>17223d9b-1508-4acd-ad38-dbb87c54b6bd</v>
      </c>
    </row>
    <row r="138" spans="1:17" ht="13.8">
      <c r="A138" s="1" t="s">
        <v>182</v>
      </c>
      <c r="B138" s="1" t="s">
        <v>26</v>
      </c>
      <c r="C138" s="1" t="s">
        <v>17</v>
      </c>
      <c r="D138" s="2">
        <v>45749</v>
      </c>
      <c r="E138" s="2">
        <v>45716</v>
      </c>
      <c r="F138" s="3">
        <v>4109</v>
      </c>
      <c r="G138" s="1" t="s">
        <v>28</v>
      </c>
      <c r="H138" s="1" t="s">
        <v>49</v>
      </c>
      <c r="I138" s="2">
        <v>45688</v>
      </c>
      <c r="J138" s="1" t="s">
        <v>30</v>
      </c>
      <c r="K138" s="1" t="s">
        <v>21</v>
      </c>
      <c r="L138" s="1" t="s">
        <v>44</v>
      </c>
      <c r="M138" s="1" t="s">
        <v>45</v>
      </c>
      <c r="N138" s="3">
        <v>42</v>
      </c>
      <c r="O138" s="1" t="s">
        <v>24</v>
      </c>
      <c r="Q138" t="str">
        <v>d1d9fa66-4f94-49ae-8dfe-818dbfbf0830</v>
      </c>
    </row>
    <row r="139" spans="1:17" ht="13.8">
      <c r="A139" s="1" t="s">
        <v>183</v>
      </c>
      <c r="B139" s="1" t="s">
        <v>16</v>
      </c>
      <c r="C139" s="1" t="s">
        <v>17</v>
      </c>
      <c r="D139" s="2">
        <v>45853</v>
      </c>
      <c r="E139" s="2">
        <v>45910</v>
      </c>
      <c r="F139" s="3">
        <v>3187</v>
      </c>
      <c r="G139" s="1" t="s">
        <v>48</v>
      </c>
      <c r="H139" s="1" t="s">
        <v>49</v>
      </c>
      <c r="I139" s="2">
        <v>45780</v>
      </c>
      <c r="J139" s="1" t="s">
        <v>30</v>
      </c>
      <c r="K139" s="1" t="s">
        <v>43</v>
      </c>
      <c r="L139" s="1" t="s">
        <v>22</v>
      </c>
      <c r="M139" s="1" t="s">
        <v>23</v>
      </c>
      <c r="N139" s="3">
        <v>49</v>
      </c>
      <c r="O139" s="1" t="s">
        <v>52</v>
      </c>
      <c r="Q139" t="str">
        <v>a35ff586-68bf-4b9c-bb05-ffb956f2b431</v>
      </c>
    </row>
    <row r="140" spans="1:17" ht="13.8">
      <c r="A140" s="1" t="s">
        <v>184</v>
      </c>
      <c r="B140" s="1" t="s">
        <v>16</v>
      </c>
      <c r="C140" s="1" t="s">
        <v>27</v>
      </c>
      <c r="D140" s="2">
        <v>45831</v>
      </c>
      <c r="E140" s="2">
        <v>45938</v>
      </c>
      <c r="F140" s="3">
        <v>0</v>
      </c>
      <c r="G140" s="1" t="s">
        <v>18</v>
      </c>
      <c r="H140" s="1" t="s">
        <v>29</v>
      </c>
      <c r="I140" s="1"/>
      <c r="J140" s="1" t="s">
        <v>30</v>
      </c>
      <c r="K140" s="1" t="s">
        <v>43</v>
      </c>
      <c r="L140" s="1" t="s">
        <v>44</v>
      </c>
      <c r="M140" s="1" t="s">
        <v>36</v>
      </c>
      <c r="N140" s="3">
        <v>38</v>
      </c>
      <c r="O140" s="1" t="s">
        <v>52</v>
      </c>
      <c r="Q140" t="str">
        <v>27903ba1-5fa8-4c4a-bba6-c8eccbfcd434</v>
      </c>
    </row>
    <row r="141" spans="1:17" ht="13.8">
      <c r="A141" s="1" t="s">
        <v>185</v>
      </c>
      <c r="B141" s="1" t="s">
        <v>26</v>
      </c>
      <c r="C141" s="1" t="s">
        <v>39</v>
      </c>
      <c r="D141" s="2">
        <v>45897</v>
      </c>
      <c r="E141" s="2">
        <v>45897</v>
      </c>
      <c r="F141" s="3">
        <v>0</v>
      </c>
      <c r="G141" s="1" t="s">
        <v>34</v>
      </c>
      <c r="H141" s="1" t="s">
        <v>29</v>
      </c>
      <c r="I141" s="1"/>
      <c r="J141" s="1" t="s">
        <v>30</v>
      </c>
      <c r="K141" s="1" t="s">
        <v>21</v>
      </c>
      <c r="L141" s="1" t="s">
        <v>27</v>
      </c>
      <c r="M141" s="1" t="s">
        <v>23</v>
      </c>
      <c r="N141" s="3">
        <v>31</v>
      </c>
      <c r="O141" s="1" t="s">
        <v>24</v>
      </c>
      <c r="Q141" t="str">
        <v>4a02e573-ba1e-488a-a98b-6e4bb96f9a2e</v>
      </c>
    </row>
    <row r="142" spans="1:17" ht="13.8">
      <c r="A142" s="1" t="s">
        <v>186</v>
      </c>
      <c r="B142" s="1" t="s">
        <v>38</v>
      </c>
      <c r="C142" s="1" t="s">
        <v>27</v>
      </c>
      <c r="D142" s="2">
        <v>45818</v>
      </c>
      <c r="E142" s="2">
        <v>45923</v>
      </c>
      <c r="F142" s="3">
        <v>0</v>
      </c>
      <c r="G142" s="1" t="s">
        <v>34</v>
      </c>
      <c r="H142" s="1" t="s">
        <v>29</v>
      </c>
      <c r="I142" s="1"/>
      <c r="J142" s="1" t="s">
        <v>30</v>
      </c>
      <c r="K142" s="1" t="s">
        <v>43</v>
      </c>
      <c r="L142" s="1" t="s">
        <v>41</v>
      </c>
      <c r="M142" s="1" t="s">
        <v>32</v>
      </c>
      <c r="N142" s="3">
        <v>89</v>
      </c>
      <c r="O142" s="1" t="s">
        <v>24</v>
      </c>
      <c r="Q142" t="str">
        <v>8a95c023-79ed-4047-871e-32a7f72ddbb6</v>
      </c>
    </row>
    <row r="143" spans="1:17" ht="13.8">
      <c r="A143" s="1" t="s">
        <v>187</v>
      </c>
      <c r="B143" s="1" t="s">
        <v>38</v>
      </c>
      <c r="C143" s="1" t="s">
        <v>27</v>
      </c>
      <c r="D143" s="2">
        <v>45919</v>
      </c>
      <c r="E143" s="2">
        <v>45703</v>
      </c>
      <c r="F143" s="3">
        <v>0</v>
      </c>
      <c r="G143" s="1" t="s">
        <v>18</v>
      </c>
      <c r="H143" s="1" t="s">
        <v>29</v>
      </c>
      <c r="I143" s="1"/>
      <c r="J143" s="1" t="s">
        <v>20</v>
      </c>
      <c r="K143" s="1" t="s">
        <v>43</v>
      </c>
      <c r="L143" s="1" t="s">
        <v>44</v>
      </c>
      <c r="M143" s="1" t="s">
        <v>32</v>
      </c>
      <c r="N143" s="3">
        <v>69</v>
      </c>
      <c r="O143" s="1" t="s">
        <v>52</v>
      </c>
      <c r="Q143" t="str">
        <v>637b6ccc-1899-4137-923f-4dae20dc8271</v>
      </c>
    </row>
    <row r="144" spans="1:17" ht="13.8">
      <c r="A144" s="1" t="s">
        <v>188</v>
      </c>
      <c r="B144" s="1" t="s">
        <v>51</v>
      </c>
      <c r="C144" s="1" t="s">
        <v>27</v>
      </c>
      <c r="D144" s="2">
        <v>45897</v>
      </c>
      <c r="E144" s="2">
        <v>45839</v>
      </c>
      <c r="F144" s="3">
        <v>0</v>
      </c>
      <c r="G144" s="1" t="s">
        <v>34</v>
      </c>
      <c r="H144" s="1" t="s">
        <v>49</v>
      </c>
      <c r="I144" s="1"/>
      <c r="J144" s="1" t="s">
        <v>20</v>
      </c>
      <c r="K144" s="1" t="s">
        <v>21</v>
      </c>
      <c r="L144" s="1" t="s">
        <v>44</v>
      </c>
      <c r="M144" s="1" t="s">
        <v>23</v>
      </c>
      <c r="N144" s="3">
        <v>30</v>
      </c>
      <c r="O144" s="1" t="s">
        <v>52</v>
      </c>
      <c r="Q144" t="str">
        <v>45ea686a-55ab-4099-a480-d0c6286c840c</v>
      </c>
    </row>
    <row r="145" spans="1:17" ht="13.8">
      <c r="A145" s="1" t="s">
        <v>189</v>
      </c>
      <c r="B145" s="1" t="s">
        <v>26</v>
      </c>
      <c r="C145" s="1" t="s">
        <v>39</v>
      </c>
      <c r="D145" s="2">
        <v>45703</v>
      </c>
      <c r="E145" s="2">
        <v>45703</v>
      </c>
      <c r="F145" s="3">
        <v>0</v>
      </c>
      <c r="G145" s="1" t="s">
        <v>48</v>
      </c>
      <c r="H145" s="1" t="s">
        <v>35</v>
      </c>
      <c r="I145" s="1"/>
      <c r="J145" s="1" t="s">
        <v>20</v>
      </c>
      <c r="K145" s="1" t="s">
        <v>43</v>
      </c>
      <c r="L145" s="1" t="s">
        <v>41</v>
      </c>
      <c r="M145" s="1" t="s">
        <v>36</v>
      </c>
      <c r="N145" s="3">
        <v>64</v>
      </c>
      <c r="O145" s="1" t="s">
        <v>46</v>
      </c>
      <c r="Q145" t="str">
        <v>925c2a72-d106-4514-855f-c297e37c4618</v>
      </c>
    </row>
    <row r="146" spans="1:17" ht="13.8">
      <c r="A146" s="1" t="s">
        <v>190</v>
      </c>
      <c r="B146" s="1" t="s">
        <v>38</v>
      </c>
      <c r="C146" s="1" t="s">
        <v>39</v>
      </c>
      <c r="D146" s="2">
        <v>45937</v>
      </c>
      <c r="E146" s="2">
        <v>45937</v>
      </c>
      <c r="F146" s="3">
        <v>0</v>
      </c>
      <c r="G146" s="1" t="s">
        <v>48</v>
      </c>
      <c r="H146" s="1" t="s">
        <v>49</v>
      </c>
      <c r="I146" s="1"/>
      <c r="J146" s="1" t="s">
        <v>20</v>
      </c>
      <c r="K146" s="1" t="s">
        <v>21</v>
      </c>
      <c r="L146" s="1" t="s">
        <v>27</v>
      </c>
      <c r="M146" s="1" t="s">
        <v>36</v>
      </c>
      <c r="N146" s="3">
        <v>95</v>
      </c>
      <c r="O146" s="1" t="s">
        <v>24</v>
      </c>
      <c r="Q146" t="str">
        <v>ab43ea01-a76b-4f64-9386-401ebc9be09c</v>
      </c>
    </row>
    <row r="147" spans="1:17" ht="13.8">
      <c r="A147" s="1" t="s">
        <v>191</v>
      </c>
      <c r="B147" s="1" t="s">
        <v>51</v>
      </c>
      <c r="C147" s="1" t="s">
        <v>39</v>
      </c>
      <c r="D147" s="2">
        <v>45666</v>
      </c>
      <c r="E147" s="2">
        <v>45666</v>
      </c>
      <c r="F147" s="3">
        <v>0</v>
      </c>
      <c r="G147" s="1" t="s">
        <v>34</v>
      </c>
      <c r="H147" s="1" t="s">
        <v>49</v>
      </c>
      <c r="I147" s="1"/>
      <c r="J147" s="1" t="s">
        <v>30</v>
      </c>
      <c r="K147" s="1" t="s">
        <v>43</v>
      </c>
      <c r="L147" s="1" t="s">
        <v>22</v>
      </c>
      <c r="M147" s="1" t="s">
        <v>32</v>
      </c>
      <c r="N147" s="3">
        <v>42</v>
      </c>
      <c r="O147" s="1" t="s">
        <v>52</v>
      </c>
      <c r="Q147" t="str">
        <v>5c1b41dc-938e-48c5-9af9-9b2cfc8f5bd8</v>
      </c>
    </row>
    <row r="148" spans="1:17" ht="13.8">
      <c r="A148" s="1" t="s">
        <v>192</v>
      </c>
      <c r="B148" s="1" t="s">
        <v>38</v>
      </c>
      <c r="C148" s="1" t="s">
        <v>39</v>
      </c>
      <c r="D148" s="2">
        <v>45699</v>
      </c>
      <c r="E148" s="2">
        <v>45699</v>
      </c>
      <c r="F148" s="3">
        <v>0</v>
      </c>
      <c r="G148" s="1" t="s">
        <v>18</v>
      </c>
      <c r="H148" s="1" t="s">
        <v>49</v>
      </c>
      <c r="I148" s="1"/>
      <c r="J148" s="1" t="s">
        <v>30</v>
      </c>
      <c r="K148" s="1" t="s">
        <v>43</v>
      </c>
      <c r="L148" s="1" t="s">
        <v>41</v>
      </c>
      <c r="M148" s="1" t="s">
        <v>23</v>
      </c>
      <c r="N148" s="3">
        <v>35</v>
      </c>
      <c r="O148" s="1" t="s">
        <v>46</v>
      </c>
      <c r="Q148" t="str">
        <v>2fcd2ca3-22a1-452b-8dea-e27db50cbe8d</v>
      </c>
    </row>
    <row r="149" spans="1:17" ht="13.8">
      <c r="A149" s="1" t="s">
        <v>193</v>
      </c>
      <c r="B149" s="1" t="s">
        <v>51</v>
      </c>
      <c r="C149" s="1" t="s">
        <v>17</v>
      </c>
      <c r="D149" s="2">
        <v>45911</v>
      </c>
      <c r="E149" s="2">
        <v>45862</v>
      </c>
      <c r="F149" s="3">
        <v>4612</v>
      </c>
      <c r="G149" s="1" t="s">
        <v>34</v>
      </c>
      <c r="H149" s="1" t="s">
        <v>35</v>
      </c>
      <c r="I149" s="2">
        <v>45931</v>
      </c>
      <c r="J149" s="1" t="s">
        <v>30</v>
      </c>
      <c r="K149" s="1" t="s">
        <v>43</v>
      </c>
      <c r="L149" s="1" t="s">
        <v>22</v>
      </c>
      <c r="M149" s="1" t="s">
        <v>45</v>
      </c>
      <c r="N149" s="3">
        <v>54</v>
      </c>
      <c r="O149" s="1" t="s">
        <v>52</v>
      </c>
      <c r="Q149" t="str">
        <v>16717535-223d-45d6-9dc3-a6c7159ddc52</v>
      </c>
    </row>
    <row r="150" spans="1:17" ht="13.8">
      <c r="A150" s="1" t="s">
        <v>194</v>
      </c>
      <c r="B150" s="1" t="s">
        <v>38</v>
      </c>
      <c r="C150" s="1" t="s">
        <v>27</v>
      </c>
      <c r="D150" s="2">
        <v>45868</v>
      </c>
      <c r="E150" s="2">
        <v>45739</v>
      </c>
      <c r="F150" s="3">
        <v>0</v>
      </c>
      <c r="G150" s="1" t="s">
        <v>28</v>
      </c>
      <c r="H150" s="1" t="s">
        <v>19</v>
      </c>
      <c r="I150" s="1"/>
      <c r="J150" s="1" t="s">
        <v>20</v>
      </c>
      <c r="K150" s="1" t="s">
        <v>31</v>
      </c>
      <c r="L150" s="1" t="s">
        <v>41</v>
      </c>
      <c r="M150" s="1" t="s">
        <v>32</v>
      </c>
      <c r="N150" s="3">
        <v>46</v>
      </c>
      <c r="O150" s="1" t="s">
        <v>24</v>
      </c>
      <c r="Q150" t="str">
        <v>07deb324-275c-4cea-9e54-28d8c965b7b4</v>
      </c>
    </row>
    <row r="151" spans="1:17" ht="13.8">
      <c r="A151" s="1" t="s">
        <v>195</v>
      </c>
      <c r="B151" s="1" t="s">
        <v>38</v>
      </c>
      <c r="C151" s="1" t="s">
        <v>27</v>
      </c>
      <c r="D151" s="2">
        <v>45934</v>
      </c>
      <c r="E151" s="2">
        <v>45767</v>
      </c>
      <c r="F151" s="3">
        <v>0</v>
      </c>
      <c r="G151" s="1" t="s">
        <v>28</v>
      </c>
      <c r="H151" s="1" t="s">
        <v>49</v>
      </c>
      <c r="I151" s="1"/>
      <c r="J151" s="1" t="s">
        <v>20</v>
      </c>
      <c r="K151" s="1" t="s">
        <v>43</v>
      </c>
      <c r="L151" s="1" t="s">
        <v>27</v>
      </c>
      <c r="M151" s="1" t="s">
        <v>36</v>
      </c>
      <c r="N151" s="3">
        <v>74</v>
      </c>
      <c r="O151" s="1" t="s">
        <v>46</v>
      </c>
      <c r="Q151" t="str">
        <v>ba306618-0d96-4070-b3be-9aa0d34034bb</v>
      </c>
    </row>
    <row r="152" spans="1:17" ht="13.8">
      <c r="A152" s="1" t="s">
        <v>196</v>
      </c>
      <c r="B152" s="1" t="s">
        <v>16</v>
      </c>
      <c r="C152" s="1" t="s">
        <v>39</v>
      </c>
      <c r="D152" s="2">
        <v>45689</v>
      </c>
      <c r="E152" s="2">
        <v>45689</v>
      </c>
      <c r="F152" s="3">
        <v>0</v>
      </c>
      <c r="G152" s="1" t="s">
        <v>28</v>
      </c>
      <c r="H152" s="1" t="s">
        <v>49</v>
      </c>
      <c r="I152" s="1"/>
      <c r="J152" s="1" t="s">
        <v>20</v>
      </c>
      <c r="K152" s="1" t="s">
        <v>21</v>
      </c>
      <c r="L152" s="1" t="s">
        <v>41</v>
      </c>
      <c r="M152" s="1" t="s">
        <v>32</v>
      </c>
      <c r="N152" s="3">
        <v>83</v>
      </c>
      <c r="O152" s="1" t="s">
        <v>46</v>
      </c>
      <c r="Q152" t="str">
        <v>4e8de92a-5f74-4e06-9852-5ef25d10f823</v>
      </c>
    </row>
    <row r="153" spans="1:17" ht="13.8">
      <c r="A153" s="1" t="s">
        <v>197</v>
      </c>
      <c r="B153" s="1" t="s">
        <v>51</v>
      </c>
      <c r="C153" s="1" t="s">
        <v>39</v>
      </c>
      <c r="D153" s="2">
        <v>45760</v>
      </c>
      <c r="E153" s="2">
        <v>45760</v>
      </c>
      <c r="F153" s="3">
        <v>0</v>
      </c>
      <c r="G153" s="1" t="s">
        <v>18</v>
      </c>
      <c r="H153" s="1" t="s">
        <v>29</v>
      </c>
      <c r="I153" s="1"/>
      <c r="J153" s="1" t="s">
        <v>20</v>
      </c>
      <c r="K153" s="1" t="s">
        <v>21</v>
      </c>
      <c r="L153" s="1" t="s">
        <v>41</v>
      </c>
      <c r="M153" s="1" t="s">
        <v>36</v>
      </c>
      <c r="N153" s="3">
        <v>71</v>
      </c>
      <c r="O153" s="1" t="s">
        <v>52</v>
      </c>
      <c r="Q153" t="str">
        <v>870eb38e-4632-4b34-baf7-f1dba0f5ba40</v>
      </c>
    </row>
    <row r="154" spans="1:17" ht="13.8">
      <c r="A154" s="1" t="s">
        <v>198</v>
      </c>
      <c r="B154" s="1" t="s">
        <v>38</v>
      </c>
      <c r="C154" s="1" t="s">
        <v>27</v>
      </c>
      <c r="D154" s="2">
        <v>45807</v>
      </c>
      <c r="E154" s="2">
        <v>45773</v>
      </c>
      <c r="F154" s="3">
        <v>0</v>
      </c>
      <c r="G154" s="1" t="s">
        <v>18</v>
      </c>
      <c r="H154" s="1" t="s">
        <v>35</v>
      </c>
      <c r="I154" s="1"/>
      <c r="J154" s="1" t="s">
        <v>20</v>
      </c>
      <c r="K154" s="1" t="s">
        <v>40</v>
      </c>
      <c r="L154" s="1" t="s">
        <v>22</v>
      </c>
      <c r="M154" s="1" t="s">
        <v>45</v>
      </c>
      <c r="N154" s="3">
        <v>54</v>
      </c>
      <c r="O154" s="1" t="s">
        <v>52</v>
      </c>
      <c r="Q154" t="str">
        <v>0d067572-b58c-404f-87c4-f4ee3d79d912</v>
      </c>
    </row>
    <row r="155" spans="1:17" ht="13.8">
      <c r="A155" s="1" t="s">
        <v>199</v>
      </c>
      <c r="B155" s="1" t="s">
        <v>16</v>
      </c>
      <c r="C155" s="1" t="s">
        <v>27</v>
      </c>
      <c r="D155" s="2">
        <v>45744</v>
      </c>
      <c r="E155" s="2">
        <v>45772</v>
      </c>
      <c r="F155" s="3">
        <v>0</v>
      </c>
      <c r="G155" s="1" t="s">
        <v>18</v>
      </c>
      <c r="H155" s="1" t="s">
        <v>29</v>
      </c>
      <c r="I155" s="1"/>
      <c r="J155" s="1" t="s">
        <v>30</v>
      </c>
      <c r="K155" s="1" t="s">
        <v>43</v>
      </c>
      <c r="L155" s="1" t="s">
        <v>27</v>
      </c>
      <c r="M155" s="1" t="s">
        <v>23</v>
      </c>
      <c r="N155" s="3">
        <v>91</v>
      </c>
      <c r="O155" s="1" t="s">
        <v>46</v>
      </c>
      <c r="Q155" t="str">
        <v>dfcf1a4a-a238-499e-b218-85ef582975c8</v>
      </c>
    </row>
    <row r="156" spans="1:17" ht="13.8">
      <c r="A156" s="1" t="s">
        <v>200</v>
      </c>
      <c r="B156" s="1" t="s">
        <v>38</v>
      </c>
      <c r="C156" s="1" t="s">
        <v>39</v>
      </c>
      <c r="D156" s="2">
        <v>45820</v>
      </c>
      <c r="E156" s="2">
        <v>45820</v>
      </c>
      <c r="F156" s="3">
        <v>0</v>
      </c>
      <c r="G156" s="1" t="s">
        <v>48</v>
      </c>
      <c r="H156" s="1" t="s">
        <v>29</v>
      </c>
      <c r="I156" s="1"/>
      <c r="J156" s="1" t="s">
        <v>20</v>
      </c>
      <c r="K156" s="1" t="s">
        <v>40</v>
      </c>
      <c r="L156" s="1" t="s">
        <v>22</v>
      </c>
      <c r="M156" s="1" t="s">
        <v>36</v>
      </c>
      <c r="N156" s="3">
        <v>32</v>
      </c>
      <c r="O156" s="1" t="s">
        <v>52</v>
      </c>
      <c r="Q156" t="str">
        <v>68bcad20-a634-45b6-8836-da35c714d8c5</v>
      </c>
    </row>
    <row r="157" spans="1:17" ht="13.8">
      <c r="A157" s="1" t="s">
        <v>201</v>
      </c>
      <c r="B157" s="1" t="s">
        <v>51</v>
      </c>
      <c r="C157" s="1" t="s">
        <v>27</v>
      </c>
      <c r="D157" s="2">
        <v>45743</v>
      </c>
      <c r="E157" s="2">
        <v>45828</v>
      </c>
      <c r="F157" s="3">
        <v>0</v>
      </c>
      <c r="G157" s="1" t="s">
        <v>18</v>
      </c>
      <c r="H157" s="1" t="s">
        <v>35</v>
      </c>
      <c r="I157" s="1"/>
      <c r="J157" s="1" t="s">
        <v>20</v>
      </c>
      <c r="K157" s="1" t="s">
        <v>43</v>
      </c>
      <c r="L157" s="1" t="s">
        <v>41</v>
      </c>
      <c r="M157" s="1" t="s">
        <v>45</v>
      </c>
      <c r="N157" s="3">
        <v>45</v>
      </c>
      <c r="O157" s="1" t="s">
        <v>24</v>
      </c>
      <c r="Q157" t="str">
        <v>85ee12bb-f69b-4d5e-9fcf-3db043f0e5f8</v>
      </c>
    </row>
    <row r="158" spans="1:17" ht="13.8">
      <c r="A158" s="1" t="s">
        <v>202</v>
      </c>
      <c r="B158" s="1" t="s">
        <v>51</v>
      </c>
      <c r="C158" s="1" t="s">
        <v>27</v>
      </c>
      <c r="D158" s="2">
        <v>45881</v>
      </c>
      <c r="E158" s="2">
        <v>45931</v>
      </c>
      <c r="F158" s="3">
        <v>0</v>
      </c>
      <c r="G158" s="1" t="s">
        <v>34</v>
      </c>
      <c r="H158" s="1" t="s">
        <v>19</v>
      </c>
      <c r="I158" s="1"/>
      <c r="J158" s="1" t="s">
        <v>30</v>
      </c>
      <c r="K158" s="1" t="s">
        <v>31</v>
      </c>
      <c r="L158" s="1" t="s">
        <v>44</v>
      </c>
      <c r="M158" s="1" t="s">
        <v>23</v>
      </c>
      <c r="N158" s="3">
        <v>61</v>
      </c>
      <c r="O158" s="1" t="s">
        <v>46</v>
      </c>
      <c r="Q158" t="str">
        <v>3a1e2b5c-e203-4ab0-8fa2-eaec4d54ff4d</v>
      </c>
    </row>
    <row r="159" spans="1:17" ht="13.8">
      <c r="A159" s="1" t="s">
        <v>203</v>
      </c>
      <c r="B159" s="1" t="s">
        <v>51</v>
      </c>
      <c r="C159" s="1" t="s">
        <v>39</v>
      </c>
      <c r="D159" s="2">
        <v>45819</v>
      </c>
      <c r="E159" s="2">
        <v>45819</v>
      </c>
      <c r="F159" s="3">
        <v>0</v>
      </c>
      <c r="G159" s="1" t="s">
        <v>34</v>
      </c>
      <c r="H159" s="1" t="s">
        <v>19</v>
      </c>
      <c r="I159" s="1"/>
      <c r="J159" s="1" t="s">
        <v>30</v>
      </c>
      <c r="K159" s="1" t="s">
        <v>43</v>
      </c>
      <c r="L159" s="1" t="s">
        <v>44</v>
      </c>
      <c r="M159" s="1" t="s">
        <v>36</v>
      </c>
      <c r="N159" s="3">
        <v>63</v>
      </c>
      <c r="O159" s="1" t="s">
        <v>24</v>
      </c>
      <c r="Q159" t="str">
        <v>adb6d733-bc2c-4ae4-b3a9-761e417b991c</v>
      </c>
    </row>
    <row r="160" spans="1:17" ht="13.8">
      <c r="A160" s="1" t="s">
        <v>204</v>
      </c>
      <c r="B160" s="1" t="s">
        <v>51</v>
      </c>
      <c r="C160" s="1" t="s">
        <v>39</v>
      </c>
      <c r="D160" s="2">
        <v>45799</v>
      </c>
      <c r="E160" s="2">
        <v>45799</v>
      </c>
      <c r="F160" s="3">
        <v>0</v>
      </c>
      <c r="G160" s="1" t="s">
        <v>28</v>
      </c>
      <c r="H160" s="1" t="s">
        <v>49</v>
      </c>
      <c r="I160" s="1"/>
      <c r="J160" s="1" t="s">
        <v>30</v>
      </c>
      <c r="K160" s="1" t="s">
        <v>21</v>
      </c>
      <c r="L160" s="1" t="s">
        <v>27</v>
      </c>
      <c r="M160" s="1" t="s">
        <v>23</v>
      </c>
      <c r="N160" s="3">
        <v>41</v>
      </c>
      <c r="O160" s="1" t="s">
        <v>52</v>
      </c>
      <c r="Q160" t="str">
        <v>1c06b221-7c3c-4f16-a2bc-d02f7c8489d9</v>
      </c>
    </row>
    <row r="161" spans="1:17" ht="13.8">
      <c r="A161" s="1" t="s">
        <v>205</v>
      </c>
      <c r="B161" s="1" t="s">
        <v>38</v>
      </c>
      <c r="C161" s="1" t="s">
        <v>27</v>
      </c>
      <c r="D161" s="2">
        <v>45809</v>
      </c>
      <c r="E161" s="2">
        <v>45677</v>
      </c>
      <c r="F161" s="3">
        <v>0</v>
      </c>
      <c r="G161" s="1" t="s">
        <v>34</v>
      </c>
      <c r="H161" s="1" t="s">
        <v>19</v>
      </c>
      <c r="I161" s="1"/>
      <c r="J161" s="1" t="s">
        <v>20</v>
      </c>
      <c r="K161" s="1" t="s">
        <v>21</v>
      </c>
      <c r="L161" s="1" t="s">
        <v>44</v>
      </c>
      <c r="M161" s="1" t="s">
        <v>23</v>
      </c>
      <c r="N161" s="3">
        <v>62</v>
      </c>
      <c r="O161" s="1" t="s">
        <v>24</v>
      </c>
      <c r="Q161" t="str">
        <v>998b91c1-c100-450c-9310-aa3004b6460e</v>
      </c>
    </row>
    <row r="162" spans="1:17" ht="13.8">
      <c r="A162" s="1" t="s">
        <v>206</v>
      </c>
      <c r="B162" s="1" t="s">
        <v>38</v>
      </c>
      <c r="C162" s="1" t="s">
        <v>17</v>
      </c>
      <c r="D162" s="2">
        <v>45920</v>
      </c>
      <c r="E162" s="2">
        <v>45740</v>
      </c>
      <c r="F162" s="3">
        <v>3798</v>
      </c>
      <c r="G162" s="1" t="s">
        <v>48</v>
      </c>
      <c r="H162" s="1" t="s">
        <v>19</v>
      </c>
      <c r="I162" s="2">
        <v>45704</v>
      </c>
      <c r="J162" s="1" t="s">
        <v>20</v>
      </c>
      <c r="K162" s="1" t="s">
        <v>21</v>
      </c>
      <c r="L162" s="1" t="s">
        <v>22</v>
      </c>
      <c r="M162" s="1" t="s">
        <v>36</v>
      </c>
      <c r="N162" s="3">
        <v>45</v>
      </c>
      <c r="O162" s="1" t="s">
        <v>24</v>
      </c>
      <c r="Q162" t="str">
        <v>a1dfefc7-92c0-4d36-9885-08b2a10f7e1e</v>
      </c>
    </row>
    <row r="163" spans="1:17" ht="13.8">
      <c r="A163" s="1" t="s">
        <v>207</v>
      </c>
      <c r="B163" s="1" t="s">
        <v>38</v>
      </c>
      <c r="C163" s="1" t="s">
        <v>27</v>
      </c>
      <c r="D163" s="2">
        <v>45723</v>
      </c>
      <c r="E163" s="2">
        <v>45743</v>
      </c>
      <c r="F163" s="3">
        <v>0</v>
      </c>
      <c r="G163" s="1" t="s">
        <v>28</v>
      </c>
      <c r="H163" s="1" t="s">
        <v>29</v>
      </c>
      <c r="I163" s="1"/>
      <c r="J163" s="1" t="s">
        <v>20</v>
      </c>
      <c r="K163" s="1" t="s">
        <v>21</v>
      </c>
      <c r="L163" s="1" t="s">
        <v>44</v>
      </c>
      <c r="M163" s="1" t="s">
        <v>32</v>
      </c>
      <c r="N163" s="3">
        <v>39</v>
      </c>
      <c r="O163" s="1" t="s">
        <v>24</v>
      </c>
      <c r="Q163" t="str">
        <v>fe50a7ea-6cca-42e4-b647-31dbdab7d2fb</v>
      </c>
    </row>
    <row r="164" spans="1:17" ht="13.8">
      <c r="A164" s="1" t="s">
        <v>208</v>
      </c>
      <c r="B164" s="1" t="s">
        <v>51</v>
      </c>
      <c r="C164" s="1" t="s">
        <v>27</v>
      </c>
      <c r="D164" s="2">
        <v>45669</v>
      </c>
      <c r="E164" s="2">
        <v>45919</v>
      </c>
      <c r="F164" s="3">
        <v>0</v>
      </c>
      <c r="G164" s="1" t="s">
        <v>28</v>
      </c>
      <c r="H164" s="1" t="s">
        <v>29</v>
      </c>
      <c r="I164" s="1"/>
      <c r="J164" s="1" t="s">
        <v>30</v>
      </c>
      <c r="K164" s="1" t="s">
        <v>21</v>
      </c>
      <c r="L164" s="1" t="s">
        <v>27</v>
      </c>
      <c r="M164" s="1" t="s">
        <v>36</v>
      </c>
      <c r="N164" s="3">
        <v>68</v>
      </c>
      <c r="O164" s="1" t="s">
        <v>24</v>
      </c>
      <c r="Q164" t="str">
        <v>a6996a07-e1ad-4762-aa3c-df55302c7d87</v>
      </c>
    </row>
    <row r="165" spans="1:17" ht="13.8">
      <c r="A165" s="1" t="s">
        <v>209</v>
      </c>
      <c r="B165" s="1" t="s">
        <v>38</v>
      </c>
      <c r="C165" s="1" t="s">
        <v>17</v>
      </c>
      <c r="D165" s="2">
        <v>45738</v>
      </c>
      <c r="E165" s="2">
        <v>45671</v>
      </c>
      <c r="F165" s="3">
        <v>4574</v>
      </c>
      <c r="G165" s="1" t="s">
        <v>48</v>
      </c>
      <c r="H165" s="1" t="s">
        <v>35</v>
      </c>
      <c r="I165" s="2">
        <v>45873</v>
      </c>
      <c r="J165" s="1" t="s">
        <v>20</v>
      </c>
      <c r="K165" s="1" t="s">
        <v>21</v>
      </c>
      <c r="L165" s="1" t="s">
        <v>44</v>
      </c>
      <c r="M165" s="1" t="s">
        <v>45</v>
      </c>
      <c r="N165" s="3">
        <v>78</v>
      </c>
      <c r="O165" s="1" t="s">
        <v>24</v>
      </c>
      <c r="Q165" t="str">
        <v>55bf4cd9-c9c6-4166-9169-f986472dbc4c</v>
      </c>
    </row>
    <row r="166" spans="1:17" ht="13.8">
      <c r="A166" s="1" t="s">
        <v>210</v>
      </c>
      <c r="B166" s="1" t="s">
        <v>51</v>
      </c>
      <c r="C166" s="1" t="s">
        <v>17</v>
      </c>
      <c r="D166" s="2">
        <v>45838</v>
      </c>
      <c r="E166" s="2">
        <v>45898</v>
      </c>
      <c r="F166" s="3">
        <v>3558</v>
      </c>
      <c r="G166" s="1" t="s">
        <v>48</v>
      </c>
      <c r="H166" s="1" t="s">
        <v>19</v>
      </c>
      <c r="I166" s="2">
        <v>45847</v>
      </c>
      <c r="J166" s="1" t="s">
        <v>30</v>
      </c>
      <c r="K166" s="1" t="s">
        <v>40</v>
      </c>
      <c r="L166" s="1" t="s">
        <v>41</v>
      </c>
      <c r="M166" s="1" t="s">
        <v>45</v>
      </c>
      <c r="N166" s="3">
        <v>48</v>
      </c>
      <c r="O166" s="1" t="s">
        <v>46</v>
      </c>
      <c r="Q166" t="str">
        <v>c23ee322-c34a-491f-8891-f5b58487b610</v>
      </c>
    </row>
    <row r="167" spans="1:17" ht="13.8">
      <c r="A167" s="1" t="s">
        <v>211</v>
      </c>
      <c r="B167" s="1" t="s">
        <v>16</v>
      </c>
      <c r="C167" s="1" t="s">
        <v>17</v>
      </c>
      <c r="D167" s="2">
        <v>45825</v>
      </c>
      <c r="E167" s="2">
        <v>45708</v>
      </c>
      <c r="F167" s="3">
        <v>3229</v>
      </c>
      <c r="G167" s="1" t="s">
        <v>18</v>
      </c>
      <c r="H167" s="1" t="s">
        <v>19</v>
      </c>
      <c r="I167" s="2">
        <v>45935</v>
      </c>
      <c r="J167" s="1" t="s">
        <v>30</v>
      </c>
      <c r="K167" s="1" t="s">
        <v>40</v>
      </c>
      <c r="L167" s="1" t="s">
        <v>44</v>
      </c>
      <c r="M167" s="1" t="s">
        <v>23</v>
      </c>
      <c r="N167" s="3">
        <v>85</v>
      </c>
      <c r="O167" s="1" t="s">
        <v>24</v>
      </c>
      <c r="Q167" t="str">
        <v>e39ef79c-63c4-4e3f-ba5a-a820d16bf0e3</v>
      </c>
    </row>
    <row r="168" spans="1:17" ht="13.8">
      <c r="A168" s="1" t="s">
        <v>212</v>
      </c>
      <c r="B168" s="1" t="s">
        <v>51</v>
      </c>
      <c r="C168" s="1" t="s">
        <v>27</v>
      </c>
      <c r="D168" s="2">
        <v>45768</v>
      </c>
      <c r="E168" s="2">
        <v>45858</v>
      </c>
      <c r="F168" s="3">
        <v>0</v>
      </c>
      <c r="G168" s="1" t="s">
        <v>34</v>
      </c>
      <c r="H168" s="1" t="s">
        <v>35</v>
      </c>
      <c r="I168" s="1"/>
      <c r="J168" s="1" t="s">
        <v>20</v>
      </c>
      <c r="K168" s="1" t="s">
        <v>43</v>
      </c>
      <c r="L168" s="1" t="s">
        <v>27</v>
      </c>
      <c r="M168" s="1" t="s">
        <v>23</v>
      </c>
      <c r="N168" s="3">
        <v>52</v>
      </c>
      <c r="O168" s="1" t="s">
        <v>24</v>
      </c>
      <c r="Q168" t="str">
        <v>43f4f7da-408e-4f96-be2c-29a1d38dae68</v>
      </c>
    </row>
    <row r="169" spans="1:17" ht="13.8">
      <c r="A169" s="1" t="s">
        <v>213</v>
      </c>
      <c r="B169" s="1" t="s">
        <v>26</v>
      </c>
      <c r="C169" s="1" t="s">
        <v>27</v>
      </c>
      <c r="D169" s="2">
        <v>45771</v>
      </c>
      <c r="E169" s="2">
        <v>45881</v>
      </c>
      <c r="F169" s="3">
        <v>0</v>
      </c>
      <c r="G169" s="1" t="s">
        <v>18</v>
      </c>
      <c r="H169" s="1" t="s">
        <v>19</v>
      </c>
      <c r="I169" s="1"/>
      <c r="J169" s="1" t="s">
        <v>20</v>
      </c>
      <c r="K169" s="1" t="s">
        <v>31</v>
      </c>
      <c r="L169" s="1" t="s">
        <v>22</v>
      </c>
      <c r="M169" s="1" t="s">
        <v>45</v>
      </c>
      <c r="N169" s="3">
        <v>92</v>
      </c>
      <c r="O169" s="1" t="s">
        <v>24</v>
      </c>
      <c r="Q169" t="str">
        <v>80101274-0dc7-46ad-8857-e701c6e7f6d3</v>
      </c>
    </row>
    <row r="170" spans="1:17" ht="13.8">
      <c r="A170" s="1" t="s">
        <v>214</v>
      </c>
      <c r="B170" s="1" t="s">
        <v>38</v>
      </c>
      <c r="C170" s="1" t="s">
        <v>17</v>
      </c>
      <c r="D170" s="2">
        <v>45708</v>
      </c>
      <c r="E170" s="2">
        <v>45689</v>
      </c>
      <c r="F170" s="3">
        <v>4310</v>
      </c>
      <c r="G170" s="1" t="s">
        <v>34</v>
      </c>
      <c r="H170" s="1" t="s">
        <v>49</v>
      </c>
      <c r="I170" s="2">
        <v>45691</v>
      </c>
      <c r="J170" s="1" t="s">
        <v>20</v>
      </c>
      <c r="K170" s="1" t="s">
        <v>21</v>
      </c>
      <c r="L170" s="1" t="s">
        <v>44</v>
      </c>
      <c r="M170" s="1" t="s">
        <v>32</v>
      </c>
      <c r="N170" s="3">
        <v>40</v>
      </c>
      <c r="O170" s="1" t="s">
        <v>24</v>
      </c>
      <c r="Q170" t="str">
        <v>12d8154e-b1c4-4767-a6b2-2932c6d802df</v>
      </c>
    </row>
    <row r="171" spans="1:17" ht="13.8">
      <c r="A171" s="1" t="s">
        <v>215</v>
      </c>
      <c r="B171" s="1" t="s">
        <v>26</v>
      </c>
      <c r="C171" s="1" t="s">
        <v>39</v>
      </c>
      <c r="D171" s="2">
        <v>45813</v>
      </c>
      <c r="E171" s="2">
        <v>45813</v>
      </c>
      <c r="F171" s="3">
        <v>0</v>
      </c>
      <c r="G171" s="1" t="s">
        <v>28</v>
      </c>
      <c r="H171" s="1" t="s">
        <v>19</v>
      </c>
      <c r="I171" s="1"/>
      <c r="J171" s="1" t="s">
        <v>20</v>
      </c>
      <c r="K171" s="1" t="s">
        <v>31</v>
      </c>
      <c r="L171" s="1" t="s">
        <v>22</v>
      </c>
      <c r="M171" s="1" t="s">
        <v>23</v>
      </c>
      <c r="N171" s="3">
        <v>92</v>
      </c>
      <c r="O171" s="1" t="s">
        <v>24</v>
      </c>
      <c r="Q171" t="str">
        <v>6a662f27-2c8f-4d8c-9785-17394ea6efe4</v>
      </c>
    </row>
    <row r="172" spans="1:17" ht="13.8">
      <c r="A172" s="1" t="s">
        <v>216</v>
      </c>
      <c r="B172" s="1" t="s">
        <v>51</v>
      </c>
      <c r="C172" s="1" t="s">
        <v>17</v>
      </c>
      <c r="D172" s="2">
        <v>45671</v>
      </c>
      <c r="E172" s="2">
        <v>45837</v>
      </c>
      <c r="F172" s="3">
        <v>4411</v>
      </c>
      <c r="G172" s="1" t="s">
        <v>48</v>
      </c>
      <c r="H172" s="1" t="s">
        <v>35</v>
      </c>
      <c r="I172" s="2">
        <v>45876</v>
      </c>
      <c r="J172" s="1" t="s">
        <v>20</v>
      </c>
      <c r="K172" s="1" t="s">
        <v>31</v>
      </c>
      <c r="L172" s="1" t="s">
        <v>22</v>
      </c>
      <c r="M172" s="1" t="s">
        <v>36</v>
      </c>
      <c r="N172" s="3">
        <v>79</v>
      </c>
      <c r="O172" s="1" t="s">
        <v>46</v>
      </c>
      <c r="Q172" t="str">
        <v>cbf4cf40-dff7-44df-8713-eb884c47caca</v>
      </c>
    </row>
    <row r="173" spans="1:17" ht="13.8">
      <c r="A173" s="1" t="s">
        <v>217</v>
      </c>
      <c r="B173" s="1" t="s">
        <v>16</v>
      </c>
      <c r="C173" s="1" t="s">
        <v>27</v>
      </c>
      <c r="D173" s="2">
        <v>45775</v>
      </c>
      <c r="E173" s="4">
        <v>45943</v>
      </c>
      <c r="F173" s="3">
        <v>0</v>
      </c>
      <c r="G173" s="1" t="s">
        <v>34</v>
      </c>
      <c r="H173" s="1" t="s">
        <v>29</v>
      </c>
      <c r="I173" s="1"/>
      <c r="J173" s="1" t="s">
        <v>30</v>
      </c>
      <c r="K173" s="1" t="s">
        <v>40</v>
      </c>
      <c r="L173" s="1" t="s">
        <v>41</v>
      </c>
      <c r="M173" s="1" t="s">
        <v>23</v>
      </c>
      <c r="N173" s="3">
        <v>44</v>
      </c>
      <c r="O173" s="1" t="s">
        <v>46</v>
      </c>
      <c r="Q173" t="str">
        <v>c7ac3517-0126-4909-af65-b91f97e5cfda</v>
      </c>
    </row>
    <row r="174" spans="1:17" ht="13.8">
      <c r="A174" s="1" t="s">
        <v>218</v>
      </c>
      <c r="B174" s="1" t="s">
        <v>38</v>
      </c>
      <c r="C174" s="1" t="s">
        <v>39</v>
      </c>
      <c r="D174" s="4">
        <v>45942</v>
      </c>
      <c r="E174" s="4">
        <v>45942</v>
      </c>
      <c r="F174" s="3">
        <v>0</v>
      </c>
      <c r="G174" s="1" t="s">
        <v>18</v>
      </c>
      <c r="H174" s="1" t="s">
        <v>19</v>
      </c>
      <c r="I174" s="1"/>
      <c r="J174" s="1" t="s">
        <v>30</v>
      </c>
      <c r="K174" s="1" t="s">
        <v>43</v>
      </c>
      <c r="L174" s="1" t="s">
        <v>22</v>
      </c>
      <c r="M174" s="1" t="s">
        <v>45</v>
      </c>
      <c r="N174" s="3">
        <v>53</v>
      </c>
      <c r="O174" s="1" t="s">
        <v>24</v>
      </c>
      <c r="Q174" t="str">
        <v>886be686-c07e-4d99-ae0b-9f94f6e389a9</v>
      </c>
    </row>
    <row r="175" spans="1:17" ht="13.8">
      <c r="A175" s="1" t="s">
        <v>219</v>
      </c>
      <c r="B175" s="1" t="s">
        <v>51</v>
      </c>
      <c r="C175" s="1" t="s">
        <v>17</v>
      </c>
      <c r="D175" s="2">
        <v>45872</v>
      </c>
      <c r="E175" s="2">
        <v>45830</v>
      </c>
      <c r="F175" s="3">
        <v>2033</v>
      </c>
      <c r="G175" s="1" t="s">
        <v>18</v>
      </c>
      <c r="H175" s="1" t="s">
        <v>35</v>
      </c>
      <c r="I175" s="2">
        <v>45920</v>
      </c>
      <c r="J175" s="1" t="s">
        <v>30</v>
      </c>
      <c r="K175" s="1" t="s">
        <v>31</v>
      </c>
      <c r="L175" s="1" t="s">
        <v>27</v>
      </c>
      <c r="M175" s="1" t="s">
        <v>23</v>
      </c>
      <c r="N175" s="3">
        <v>31</v>
      </c>
      <c r="O175" s="1" t="s">
        <v>52</v>
      </c>
      <c r="Q175" t="str">
        <v>23a25991-72c8-4d55-af07-1774dbd8c21b</v>
      </c>
    </row>
    <row r="176" spans="1:17" ht="13.8">
      <c r="A176" s="1" t="s">
        <v>220</v>
      </c>
      <c r="B176" s="1" t="s">
        <v>26</v>
      </c>
      <c r="C176" s="1" t="s">
        <v>27</v>
      </c>
      <c r="D176" s="2">
        <v>45821</v>
      </c>
      <c r="E176" s="2">
        <v>45828</v>
      </c>
      <c r="F176" s="3">
        <v>0</v>
      </c>
      <c r="G176" s="1" t="s">
        <v>28</v>
      </c>
      <c r="H176" s="1" t="s">
        <v>49</v>
      </c>
      <c r="I176" s="1"/>
      <c r="J176" s="1" t="s">
        <v>30</v>
      </c>
      <c r="K176" s="1" t="s">
        <v>21</v>
      </c>
      <c r="L176" s="1" t="s">
        <v>41</v>
      </c>
      <c r="M176" s="1" t="s">
        <v>45</v>
      </c>
      <c r="N176" s="3">
        <v>30</v>
      </c>
      <c r="O176" s="1" t="s">
        <v>46</v>
      </c>
      <c r="Q176" t="str">
        <v>b0caafb3-76c6-4514-9cfe-7e2f8d80933a</v>
      </c>
    </row>
    <row r="177" spans="1:17" ht="13.8">
      <c r="A177" s="1" t="s">
        <v>221</v>
      </c>
      <c r="B177" s="1" t="s">
        <v>26</v>
      </c>
      <c r="C177" s="1" t="s">
        <v>39</v>
      </c>
      <c r="D177" s="2">
        <v>45740</v>
      </c>
      <c r="E177" s="2">
        <v>45740</v>
      </c>
      <c r="F177" s="3">
        <v>0</v>
      </c>
      <c r="G177" s="1" t="s">
        <v>34</v>
      </c>
      <c r="H177" s="1" t="s">
        <v>19</v>
      </c>
      <c r="I177" s="1"/>
      <c r="J177" s="1" t="s">
        <v>30</v>
      </c>
      <c r="K177" s="1" t="s">
        <v>40</v>
      </c>
      <c r="L177" s="1" t="s">
        <v>22</v>
      </c>
      <c r="M177" s="1" t="s">
        <v>45</v>
      </c>
      <c r="N177" s="3">
        <v>68</v>
      </c>
      <c r="O177" s="1" t="s">
        <v>24</v>
      </c>
      <c r="Q177" t="str">
        <v>16094d1c-2e6d-43d4-8cf7-2c52e1285919</v>
      </c>
    </row>
    <row r="178" spans="1:17" ht="13.8">
      <c r="A178" s="1" t="s">
        <v>222</v>
      </c>
      <c r="B178" s="1" t="s">
        <v>26</v>
      </c>
      <c r="C178" s="1" t="s">
        <v>27</v>
      </c>
      <c r="D178" s="2">
        <v>45916</v>
      </c>
      <c r="E178" s="2">
        <v>45815</v>
      </c>
      <c r="F178" s="3">
        <v>0</v>
      </c>
      <c r="G178" s="1" t="s">
        <v>28</v>
      </c>
      <c r="H178" s="1" t="s">
        <v>19</v>
      </c>
      <c r="I178" s="1"/>
      <c r="J178" s="1" t="s">
        <v>20</v>
      </c>
      <c r="K178" s="1" t="s">
        <v>31</v>
      </c>
      <c r="L178" s="1" t="s">
        <v>27</v>
      </c>
      <c r="M178" s="1" t="s">
        <v>36</v>
      </c>
      <c r="N178" s="3">
        <v>77</v>
      </c>
      <c r="O178" s="1" t="s">
        <v>24</v>
      </c>
      <c r="Q178" t="str">
        <v>1482e109-1e6a-48db-8707-2fcd8f427793</v>
      </c>
    </row>
    <row r="179" spans="1:17" ht="13.8">
      <c r="A179" s="1" t="s">
        <v>223</v>
      </c>
      <c r="B179" s="1" t="s">
        <v>16</v>
      </c>
      <c r="C179" s="1" t="s">
        <v>27</v>
      </c>
      <c r="D179" s="2">
        <v>45853</v>
      </c>
      <c r="E179" s="2">
        <v>45916</v>
      </c>
      <c r="F179" s="3">
        <v>0</v>
      </c>
      <c r="G179" s="1" t="s">
        <v>48</v>
      </c>
      <c r="H179" s="1" t="s">
        <v>29</v>
      </c>
      <c r="I179" s="1"/>
      <c r="J179" s="1" t="s">
        <v>30</v>
      </c>
      <c r="K179" s="1" t="s">
        <v>21</v>
      </c>
      <c r="L179" s="1" t="s">
        <v>22</v>
      </c>
      <c r="M179" s="1" t="s">
        <v>23</v>
      </c>
      <c r="N179" s="3">
        <v>83</v>
      </c>
      <c r="O179" s="1" t="s">
        <v>24</v>
      </c>
      <c r="Q179" t="str">
        <v>9219eabd-7b78-4645-880d-fbafb443ac55</v>
      </c>
    </row>
    <row r="180" spans="1:17" ht="13.8">
      <c r="A180" s="1" t="s">
        <v>224</v>
      </c>
      <c r="B180" s="1" t="s">
        <v>26</v>
      </c>
      <c r="C180" s="1" t="s">
        <v>27</v>
      </c>
      <c r="D180" s="2">
        <v>45737</v>
      </c>
      <c r="E180" s="2">
        <v>45675</v>
      </c>
      <c r="F180" s="3">
        <v>0</v>
      </c>
      <c r="G180" s="1" t="s">
        <v>18</v>
      </c>
      <c r="H180" s="1" t="s">
        <v>19</v>
      </c>
      <c r="I180" s="1"/>
      <c r="J180" s="1" t="s">
        <v>20</v>
      </c>
      <c r="K180" s="1" t="s">
        <v>43</v>
      </c>
      <c r="L180" s="1" t="s">
        <v>22</v>
      </c>
      <c r="M180" s="1" t="s">
        <v>45</v>
      </c>
      <c r="N180" s="3">
        <v>64</v>
      </c>
      <c r="O180" s="1" t="s">
        <v>52</v>
      </c>
      <c r="Q180" t="str">
        <v>9e148d4d-ea37-452e-b5e2-85ae1b16a420</v>
      </c>
    </row>
    <row r="181" spans="1:17" ht="13.8">
      <c r="A181" s="1" t="s">
        <v>225</v>
      </c>
      <c r="B181" s="1" t="s">
        <v>26</v>
      </c>
      <c r="C181" s="1" t="s">
        <v>27</v>
      </c>
      <c r="D181" s="2">
        <v>45715</v>
      </c>
      <c r="E181" s="2">
        <v>45662</v>
      </c>
      <c r="F181" s="3">
        <v>0</v>
      </c>
      <c r="G181" s="1" t="s">
        <v>34</v>
      </c>
      <c r="H181" s="1" t="s">
        <v>49</v>
      </c>
      <c r="I181" s="1"/>
      <c r="J181" s="1" t="s">
        <v>30</v>
      </c>
      <c r="K181" s="1" t="s">
        <v>21</v>
      </c>
      <c r="L181" s="1" t="s">
        <v>22</v>
      </c>
      <c r="M181" s="1" t="s">
        <v>23</v>
      </c>
      <c r="N181" s="3">
        <v>81</v>
      </c>
      <c r="O181" s="1" t="s">
        <v>52</v>
      </c>
      <c r="Q181" t="str">
        <v>cf448f88-ed59-47c6-8926-1c2a2d2c3a13</v>
      </c>
    </row>
    <row r="182" spans="1:17" ht="13.8">
      <c r="A182" s="1" t="s">
        <v>226</v>
      </c>
      <c r="B182" s="1" t="s">
        <v>26</v>
      </c>
      <c r="C182" s="1" t="s">
        <v>17</v>
      </c>
      <c r="D182" s="2">
        <v>45919</v>
      </c>
      <c r="E182" s="2">
        <v>45765</v>
      </c>
      <c r="F182" s="3">
        <v>4957</v>
      </c>
      <c r="G182" s="1" t="s">
        <v>34</v>
      </c>
      <c r="H182" s="1" t="s">
        <v>35</v>
      </c>
      <c r="I182" s="2">
        <v>45870</v>
      </c>
      <c r="J182" s="1" t="s">
        <v>20</v>
      </c>
      <c r="K182" s="1" t="s">
        <v>43</v>
      </c>
      <c r="L182" s="1" t="s">
        <v>41</v>
      </c>
      <c r="M182" s="1" t="s">
        <v>23</v>
      </c>
      <c r="N182" s="3">
        <v>57</v>
      </c>
      <c r="O182" s="1" t="s">
        <v>24</v>
      </c>
      <c r="Q182" t="str">
        <v>d21f1d48-10b4-4e89-b0b3-08e67fd35c6f</v>
      </c>
    </row>
    <row r="183" spans="1:17" ht="13.8">
      <c r="A183" s="1" t="s">
        <v>227</v>
      </c>
      <c r="B183" s="1" t="s">
        <v>38</v>
      </c>
      <c r="C183" s="1" t="s">
        <v>27</v>
      </c>
      <c r="D183" s="2">
        <v>45727</v>
      </c>
      <c r="E183" s="2">
        <v>45863</v>
      </c>
      <c r="F183" s="3">
        <v>0</v>
      </c>
      <c r="G183" s="1" t="s">
        <v>28</v>
      </c>
      <c r="H183" s="1" t="s">
        <v>35</v>
      </c>
      <c r="I183" s="1"/>
      <c r="J183" s="1" t="s">
        <v>30</v>
      </c>
      <c r="K183" s="1" t="s">
        <v>43</v>
      </c>
      <c r="L183" s="1" t="s">
        <v>41</v>
      </c>
      <c r="M183" s="1" t="s">
        <v>36</v>
      </c>
      <c r="N183" s="3">
        <v>83</v>
      </c>
      <c r="O183" s="1" t="s">
        <v>46</v>
      </c>
      <c r="Q183" t="str">
        <v>69a606ca-1c54-48f9-b484-5940df172664</v>
      </c>
    </row>
    <row r="184" spans="1:17" ht="13.8">
      <c r="A184" s="1" t="s">
        <v>228</v>
      </c>
      <c r="B184" s="1" t="s">
        <v>51</v>
      </c>
      <c r="C184" s="1" t="s">
        <v>17</v>
      </c>
      <c r="D184" s="2">
        <v>45676</v>
      </c>
      <c r="E184" s="2">
        <v>45754</v>
      </c>
      <c r="F184" s="3">
        <v>4365</v>
      </c>
      <c r="G184" s="1" t="s">
        <v>28</v>
      </c>
      <c r="H184" s="1" t="s">
        <v>29</v>
      </c>
      <c r="I184" s="2">
        <v>45702</v>
      </c>
      <c r="J184" s="1" t="s">
        <v>30</v>
      </c>
      <c r="K184" s="1" t="s">
        <v>43</v>
      </c>
      <c r="L184" s="1" t="s">
        <v>27</v>
      </c>
      <c r="M184" s="1" t="s">
        <v>32</v>
      </c>
      <c r="N184" s="3">
        <v>57</v>
      </c>
      <c r="O184" s="1" t="s">
        <v>52</v>
      </c>
      <c r="Q184" t="str">
        <v>21750b16-569a-4a21-9c20-23f230b6cab9</v>
      </c>
    </row>
    <row r="185" spans="1:17" ht="13.8">
      <c r="A185" s="1" t="s">
        <v>229</v>
      </c>
      <c r="B185" s="1" t="s">
        <v>26</v>
      </c>
      <c r="C185" s="1" t="s">
        <v>39</v>
      </c>
      <c r="D185" s="2">
        <v>45852</v>
      </c>
      <c r="E185" s="2">
        <v>45852</v>
      </c>
      <c r="F185" s="3">
        <v>0</v>
      </c>
      <c r="G185" s="1" t="s">
        <v>48</v>
      </c>
      <c r="H185" s="1" t="s">
        <v>35</v>
      </c>
      <c r="I185" s="1"/>
      <c r="J185" s="1" t="s">
        <v>30</v>
      </c>
      <c r="K185" s="1" t="s">
        <v>21</v>
      </c>
      <c r="L185" s="1" t="s">
        <v>27</v>
      </c>
      <c r="M185" s="1" t="s">
        <v>36</v>
      </c>
      <c r="N185" s="3">
        <v>94</v>
      </c>
      <c r="O185" s="1" t="s">
        <v>52</v>
      </c>
      <c r="Q185" t="str">
        <v>655b8e46-abf3-47a2-b0e8-1974bfa0cb02</v>
      </c>
    </row>
    <row r="186" spans="1:17" ht="13.8">
      <c r="A186" s="1" t="s">
        <v>230</v>
      </c>
      <c r="B186" s="1" t="s">
        <v>38</v>
      </c>
      <c r="C186" s="1" t="s">
        <v>17</v>
      </c>
      <c r="D186" s="2">
        <v>45909</v>
      </c>
      <c r="E186" s="2">
        <v>45708</v>
      </c>
      <c r="F186" s="3">
        <v>2258</v>
      </c>
      <c r="G186" s="1" t="s">
        <v>34</v>
      </c>
      <c r="H186" s="1" t="s">
        <v>49</v>
      </c>
      <c r="I186" s="2">
        <v>45791</v>
      </c>
      <c r="J186" s="1" t="s">
        <v>30</v>
      </c>
      <c r="K186" s="1" t="s">
        <v>43</v>
      </c>
      <c r="L186" s="1" t="s">
        <v>41</v>
      </c>
      <c r="M186" s="1" t="s">
        <v>23</v>
      </c>
      <c r="N186" s="3">
        <v>84</v>
      </c>
      <c r="O186" s="1" t="s">
        <v>24</v>
      </c>
      <c r="Q186" t="str">
        <v>91325f64-8965-488d-b307-e01998f8a723</v>
      </c>
    </row>
    <row r="187" spans="1:17" ht="13.8">
      <c r="A187" s="1" t="s">
        <v>231</v>
      </c>
      <c r="B187" s="1" t="s">
        <v>38</v>
      </c>
      <c r="C187" s="1" t="s">
        <v>17</v>
      </c>
      <c r="D187" s="2">
        <v>45720</v>
      </c>
      <c r="E187" s="2">
        <v>45727</v>
      </c>
      <c r="F187" s="3">
        <v>4589</v>
      </c>
      <c r="G187" s="1" t="s">
        <v>28</v>
      </c>
      <c r="H187" s="1" t="s">
        <v>49</v>
      </c>
      <c r="I187" s="2">
        <v>45805</v>
      </c>
      <c r="J187" s="1" t="s">
        <v>30</v>
      </c>
      <c r="K187" s="1" t="s">
        <v>31</v>
      </c>
      <c r="L187" s="1" t="s">
        <v>41</v>
      </c>
      <c r="M187" s="1" t="s">
        <v>36</v>
      </c>
      <c r="N187" s="3">
        <v>50</v>
      </c>
      <c r="O187" s="1" t="s">
        <v>46</v>
      </c>
      <c r="Q187" t="str">
        <v>878ab0bd-5fcb-4779-bd2d-f527ef47315d</v>
      </c>
    </row>
    <row r="188" spans="1:17" ht="13.8">
      <c r="A188" s="1" t="s">
        <v>232</v>
      </c>
      <c r="B188" s="1" t="s">
        <v>51</v>
      </c>
      <c r="C188" s="1" t="s">
        <v>39</v>
      </c>
      <c r="D188" s="2">
        <v>45815</v>
      </c>
      <c r="E188" s="2">
        <v>45815</v>
      </c>
      <c r="F188" s="3">
        <v>0</v>
      </c>
      <c r="G188" s="1" t="s">
        <v>34</v>
      </c>
      <c r="H188" s="1" t="s">
        <v>49</v>
      </c>
      <c r="I188" s="1"/>
      <c r="J188" s="1" t="s">
        <v>30</v>
      </c>
      <c r="K188" s="1" t="s">
        <v>21</v>
      </c>
      <c r="L188" s="1" t="s">
        <v>44</v>
      </c>
      <c r="M188" s="1" t="s">
        <v>36</v>
      </c>
      <c r="N188" s="3">
        <v>95</v>
      </c>
      <c r="O188" s="1" t="s">
        <v>52</v>
      </c>
      <c r="Q188" t="str">
        <v>54861c50-cdf2-42d5-8f15-6dd4a023f6c2</v>
      </c>
    </row>
    <row r="189" spans="1:17" ht="13.8">
      <c r="A189" s="1" t="s">
        <v>233</v>
      </c>
      <c r="B189" s="1" t="s">
        <v>38</v>
      </c>
      <c r="C189" s="1" t="s">
        <v>17</v>
      </c>
      <c r="D189" s="2">
        <v>45808</v>
      </c>
      <c r="E189" s="2">
        <v>45694</v>
      </c>
      <c r="F189" s="3">
        <v>2184</v>
      </c>
      <c r="G189" s="1" t="s">
        <v>48</v>
      </c>
      <c r="H189" s="1" t="s">
        <v>49</v>
      </c>
      <c r="I189" s="2">
        <v>45901</v>
      </c>
      <c r="J189" s="1" t="s">
        <v>30</v>
      </c>
      <c r="K189" s="1" t="s">
        <v>43</v>
      </c>
      <c r="L189" s="1" t="s">
        <v>22</v>
      </c>
      <c r="M189" s="1" t="s">
        <v>36</v>
      </c>
      <c r="N189" s="3">
        <v>82</v>
      </c>
      <c r="O189" s="1" t="s">
        <v>52</v>
      </c>
      <c r="Q189" t="str">
        <v>043b72a6-2570-48ac-8bbb-655d9cbd44e7</v>
      </c>
    </row>
    <row r="190" spans="1:17" ht="13.8">
      <c r="A190" s="1" t="s">
        <v>234</v>
      </c>
      <c r="B190" s="1" t="s">
        <v>16</v>
      </c>
      <c r="C190" s="1" t="s">
        <v>27</v>
      </c>
      <c r="D190" s="2">
        <v>45704</v>
      </c>
      <c r="E190" s="2">
        <v>45872</v>
      </c>
      <c r="F190" s="3">
        <v>0</v>
      </c>
      <c r="G190" s="1" t="s">
        <v>18</v>
      </c>
      <c r="H190" s="1" t="s">
        <v>49</v>
      </c>
      <c r="I190" s="1"/>
      <c r="J190" s="1" t="s">
        <v>20</v>
      </c>
      <c r="K190" s="1" t="s">
        <v>43</v>
      </c>
      <c r="L190" s="1" t="s">
        <v>44</v>
      </c>
      <c r="M190" s="1" t="s">
        <v>45</v>
      </c>
      <c r="N190" s="3">
        <v>32</v>
      </c>
      <c r="O190" s="1" t="s">
        <v>24</v>
      </c>
      <c r="Q190" t="str">
        <v>9cfb4a86-c47c-4975-9770-e6a64d9c5f6d</v>
      </c>
    </row>
    <row r="191" spans="1:17" ht="13.8">
      <c r="A191" s="1" t="s">
        <v>235</v>
      </c>
      <c r="B191" s="1" t="s">
        <v>38</v>
      </c>
      <c r="C191" s="1" t="s">
        <v>39</v>
      </c>
      <c r="D191" s="2">
        <v>45690</v>
      </c>
      <c r="E191" s="2">
        <v>45690</v>
      </c>
      <c r="F191" s="3">
        <v>0</v>
      </c>
      <c r="G191" s="1" t="s">
        <v>18</v>
      </c>
      <c r="H191" s="1" t="s">
        <v>49</v>
      </c>
      <c r="I191" s="1"/>
      <c r="J191" s="1" t="s">
        <v>30</v>
      </c>
      <c r="K191" s="1" t="s">
        <v>40</v>
      </c>
      <c r="L191" s="1" t="s">
        <v>41</v>
      </c>
      <c r="M191" s="1" t="s">
        <v>32</v>
      </c>
      <c r="N191" s="3">
        <v>56</v>
      </c>
      <c r="O191" s="1" t="s">
        <v>46</v>
      </c>
      <c r="Q191" t="str">
        <v>aae1c40a-c302-4172-9fcf-fb3d84cb0f0e</v>
      </c>
    </row>
    <row r="192" spans="1:17" ht="13.8">
      <c r="A192" s="1" t="s">
        <v>236</v>
      </c>
      <c r="B192" s="1" t="s">
        <v>26</v>
      </c>
      <c r="C192" s="1" t="s">
        <v>17</v>
      </c>
      <c r="D192" s="2">
        <v>45847</v>
      </c>
      <c r="E192" s="2">
        <v>45708</v>
      </c>
      <c r="F192" s="3">
        <v>2707</v>
      </c>
      <c r="G192" s="1" t="s">
        <v>48</v>
      </c>
      <c r="H192" s="1" t="s">
        <v>35</v>
      </c>
      <c r="I192" s="2">
        <v>45708</v>
      </c>
      <c r="J192" s="1" t="s">
        <v>20</v>
      </c>
      <c r="K192" s="1" t="s">
        <v>40</v>
      </c>
      <c r="L192" s="1" t="s">
        <v>22</v>
      </c>
      <c r="M192" s="1" t="s">
        <v>45</v>
      </c>
      <c r="N192" s="3">
        <v>72</v>
      </c>
      <c r="O192" s="1" t="s">
        <v>46</v>
      </c>
      <c r="Q192" t="str">
        <v>ad74c29d-3eb7-49a8-9e7f-8520ff687652</v>
      </c>
    </row>
    <row r="193" spans="1:17" ht="13.8">
      <c r="A193" s="1" t="s">
        <v>237</v>
      </c>
      <c r="B193" s="1" t="s">
        <v>26</v>
      </c>
      <c r="C193" s="1" t="s">
        <v>27</v>
      </c>
      <c r="D193" s="2">
        <v>45792</v>
      </c>
      <c r="E193" s="2">
        <v>45691</v>
      </c>
      <c r="F193" s="3">
        <v>0</v>
      </c>
      <c r="G193" s="1" t="s">
        <v>18</v>
      </c>
      <c r="H193" s="1" t="s">
        <v>29</v>
      </c>
      <c r="I193" s="1"/>
      <c r="J193" s="1" t="s">
        <v>30</v>
      </c>
      <c r="K193" s="1" t="s">
        <v>43</v>
      </c>
      <c r="L193" s="1" t="s">
        <v>22</v>
      </c>
      <c r="M193" s="1" t="s">
        <v>32</v>
      </c>
      <c r="N193" s="3">
        <v>43</v>
      </c>
      <c r="O193" s="1" t="s">
        <v>24</v>
      </c>
      <c r="Q193" t="str">
        <v>4dc4fb19-de5a-4836-8281-78fce399c272</v>
      </c>
    </row>
    <row r="194" spans="1:17" ht="13.8">
      <c r="A194" s="1" t="s">
        <v>238</v>
      </c>
      <c r="B194" s="1" t="s">
        <v>51</v>
      </c>
      <c r="C194" s="1" t="s">
        <v>27</v>
      </c>
      <c r="D194" s="2">
        <v>45679</v>
      </c>
      <c r="E194" s="2">
        <v>45659</v>
      </c>
      <c r="F194" s="3">
        <v>0</v>
      </c>
      <c r="G194" s="1" t="s">
        <v>34</v>
      </c>
      <c r="H194" s="1" t="s">
        <v>35</v>
      </c>
      <c r="I194" s="1"/>
      <c r="J194" s="1" t="s">
        <v>20</v>
      </c>
      <c r="K194" s="1" t="s">
        <v>31</v>
      </c>
      <c r="L194" s="1" t="s">
        <v>22</v>
      </c>
      <c r="M194" s="1" t="s">
        <v>32</v>
      </c>
      <c r="N194" s="3">
        <v>48</v>
      </c>
      <c r="O194" s="1" t="s">
        <v>52</v>
      </c>
      <c r="Q194" t="str">
        <v>e938c18a-8dc3-4b99-af02-0bb782fcda88</v>
      </c>
    </row>
    <row r="195" spans="1:17" ht="13.8">
      <c r="A195" s="1" t="s">
        <v>239</v>
      </c>
      <c r="B195" s="1" t="s">
        <v>26</v>
      </c>
      <c r="C195" s="1" t="s">
        <v>27</v>
      </c>
      <c r="D195" s="2">
        <v>45848</v>
      </c>
      <c r="E195" s="2">
        <v>45937</v>
      </c>
      <c r="F195" s="3">
        <v>0</v>
      </c>
      <c r="G195" s="1" t="s">
        <v>18</v>
      </c>
      <c r="H195" s="1" t="s">
        <v>35</v>
      </c>
      <c r="I195" s="1"/>
      <c r="J195" s="1" t="s">
        <v>20</v>
      </c>
      <c r="K195" s="1" t="s">
        <v>43</v>
      </c>
      <c r="L195" s="1" t="s">
        <v>41</v>
      </c>
      <c r="M195" s="1" t="s">
        <v>36</v>
      </c>
      <c r="N195" s="3">
        <v>43</v>
      </c>
      <c r="O195" s="1" t="s">
        <v>24</v>
      </c>
      <c r="Q195" t="str">
        <v>652c758c-e34b-496e-9332-4ccb12fddd46</v>
      </c>
    </row>
    <row r="196" spans="1:17" ht="13.8">
      <c r="A196" s="1" t="s">
        <v>240</v>
      </c>
      <c r="B196" s="1" t="s">
        <v>16</v>
      </c>
      <c r="C196" s="1" t="s">
        <v>39</v>
      </c>
      <c r="D196" s="2">
        <v>45724</v>
      </c>
      <c r="E196" s="2">
        <v>45724</v>
      </c>
      <c r="F196" s="3">
        <v>0</v>
      </c>
      <c r="G196" s="1" t="s">
        <v>48</v>
      </c>
      <c r="H196" s="1" t="s">
        <v>49</v>
      </c>
      <c r="I196" s="1"/>
      <c r="J196" s="1" t="s">
        <v>20</v>
      </c>
      <c r="K196" s="1" t="s">
        <v>31</v>
      </c>
      <c r="L196" s="1" t="s">
        <v>22</v>
      </c>
      <c r="M196" s="1" t="s">
        <v>32</v>
      </c>
      <c r="N196" s="3">
        <v>92</v>
      </c>
      <c r="O196" s="1" t="s">
        <v>24</v>
      </c>
      <c r="Q196" t="str">
        <v>80bb604b-e2e9-4f0d-9c93-a101a0214a34</v>
      </c>
    </row>
    <row r="197" spans="1:17" ht="13.8">
      <c r="A197" s="1" t="s">
        <v>241</v>
      </c>
      <c r="B197" s="1" t="s">
        <v>51</v>
      </c>
      <c r="C197" s="1" t="s">
        <v>39</v>
      </c>
      <c r="D197" s="2">
        <v>45826</v>
      </c>
      <c r="E197" s="2">
        <v>45826</v>
      </c>
      <c r="F197" s="3">
        <v>0</v>
      </c>
      <c r="G197" s="1" t="s">
        <v>34</v>
      </c>
      <c r="H197" s="1" t="s">
        <v>29</v>
      </c>
      <c r="I197" s="1"/>
      <c r="J197" s="1" t="s">
        <v>30</v>
      </c>
      <c r="K197" s="1" t="s">
        <v>31</v>
      </c>
      <c r="L197" s="1" t="s">
        <v>44</v>
      </c>
      <c r="M197" s="1" t="s">
        <v>36</v>
      </c>
      <c r="N197" s="3">
        <v>49</v>
      </c>
      <c r="O197" s="1" t="s">
        <v>52</v>
      </c>
      <c r="Q197" t="str">
        <v>993b073b-28dd-4822-8579-7403e3a36426</v>
      </c>
    </row>
    <row r="198" spans="1:17" ht="13.8">
      <c r="A198" s="1" t="s">
        <v>242</v>
      </c>
      <c r="B198" s="1" t="s">
        <v>38</v>
      </c>
      <c r="C198" s="1" t="s">
        <v>17</v>
      </c>
      <c r="D198" s="2">
        <v>45853</v>
      </c>
      <c r="E198" s="2">
        <v>45659</v>
      </c>
      <c r="F198" s="3">
        <v>4898</v>
      </c>
      <c r="G198" s="1" t="s">
        <v>28</v>
      </c>
      <c r="H198" s="1" t="s">
        <v>29</v>
      </c>
      <c r="I198" s="2">
        <v>45674</v>
      </c>
      <c r="J198" s="1" t="s">
        <v>20</v>
      </c>
      <c r="K198" s="1" t="s">
        <v>31</v>
      </c>
      <c r="L198" s="1" t="s">
        <v>22</v>
      </c>
      <c r="M198" s="1" t="s">
        <v>23</v>
      </c>
      <c r="N198" s="3">
        <v>61</v>
      </c>
      <c r="O198" s="1" t="s">
        <v>52</v>
      </c>
      <c r="Q198" t="str">
        <v>bb6d181e-dfc0-4e52-a231-ac0ef933bade</v>
      </c>
    </row>
    <row r="199" spans="1:17" ht="13.8">
      <c r="A199" s="1" t="s">
        <v>243</v>
      </c>
      <c r="B199" s="1" t="s">
        <v>26</v>
      </c>
      <c r="C199" s="1" t="s">
        <v>17</v>
      </c>
      <c r="D199" s="2">
        <v>45683</v>
      </c>
      <c r="E199" s="2">
        <v>45663</v>
      </c>
      <c r="F199" s="3">
        <v>4574</v>
      </c>
      <c r="G199" s="1" t="s">
        <v>18</v>
      </c>
      <c r="H199" s="1" t="s">
        <v>35</v>
      </c>
      <c r="I199" s="2">
        <v>45730</v>
      </c>
      <c r="J199" s="1" t="s">
        <v>20</v>
      </c>
      <c r="K199" s="1" t="s">
        <v>21</v>
      </c>
      <c r="L199" s="1" t="s">
        <v>41</v>
      </c>
      <c r="M199" s="1" t="s">
        <v>23</v>
      </c>
      <c r="N199" s="3">
        <v>48</v>
      </c>
      <c r="O199" s="1" t="s">
        <v>52</v>
      </c>
      <c r="Q199" t="str">
        <v>430d90bf-713d-4baf-bdcf-314f3c78a3dd</v>
      </c>
    </row>
    <row r="200" spans="1:17" ht="13.8">
      <c r="A200" s="1" t="s">
        <v>244</v>
      </c>
      <c r="B200" s="1" t="s">
        <v>38</v>
      </c>
      <c r="C200" s="1" t="s">
        <v>27</v>
      </c>
      <c r="D200" s="2">
        <v>45680</v>
      </c>
      <c r="E200" s="2">
        <v>45859</v>
      </c>
      <c r="F200" s="3">
        <v>0</v>
      </c>
      <c r="G200" s="1" t="s">
        <v>18</v>
      </c>
      <c r="H200" s="1" t="s">
        <v>19</v>
      </c>
      <c r="I200" s="1"/>
      <c r="J200" s="1" t="s">
        <v>20</v>
      </c>
      <c r="K200" s="1" t="s">
        <v>43</v>
      </c>
      <c r="L200" s="1" t="s">
        <v>44</v>
      </c>
      <c r="M200" s="1" t="s">
        <v>45</v>
      </c>
      <c r="N200" s="3">
        <v>85</v>
      </c>
      <c r="O200" s="1" t="s">
        <v>46</v>
      </c>
      <c r="Q200" t="str">
        <v>aeba8f18-da5b-4dd8-b9f7-2fecba854fa3</v>
      </c>
    </row>
    <row r="201" spans="1:17" ht="13.8">
      <c r="A201" s="1" t="s">
        <v>245</v>
      </c>
      <c r="B201" s="1" t="s">
        <v>26</v>
      </c>
      <c r="C201" s="1" t="s">
        <v>17</v>
      </c>
      <c r="D201" s="2">
        <v>45796</v>
      </c>
      <c r="E201" s="2">
        <v>45781</v>
      </c>
      <c r="F201" s="3">
        <v>2879</v>
      </c>
      <c r="G201" s="1" t="s">
        <v>18</v>
      </c>
      <c r="H201" s="1" t="s">
        <v>29</v>
      </c>
      <c r="I201" s="2">
        <v>45822</v>
      </c>
      <c r="J201" s="1" t="s">
        <v>30</v>
      </c>
      <c r="K201" s="1" t="s">
        <v>21</v>
      </c>
      <c r="L201" s="1" t="s">
        <v>41</v>
      </c>
      <c r="M201" s="1" t="s">
        <v>45</v>
      </c>
      <c r="N201" s="3">
        <v>61</v>
      </c>
      <c r="O201" s="1" t="s">
        <v>52</v>
      </c>
      <c r="Q201" t="str">
        <v>e51c44d0-1a83-4e77-a435-c5dcb5d18e25</v>
      </c>
    </row>
    <row r="202" spans="1:17" ht="13.8">
      <c r="A202" s="1" t="s">
        <v>246</v>
      </c>
      <c r="B202" s="1" t="s">
        <v>26</v>
      </c>
      <c r="C202" s="1" t="s">
        <v>27</v>
      </c>
      <c r="D202" s="2">
        <v>45852</v>
      </c>
      <c r="E202" s="2">
        <v>45744</v>
      </c>
      <c r="F202" s="3">
        <v>0</v>
      </c>
      <c r="G202" s="1" t="s">
        <v>48</v>
      </c>
      <c r="H202" s="1" t="s">
        <v>19</v>
      </c>
      <c r="I202" s="1"/>
      <c r="J202" s="1" t="s">
        <v>20</v>
      </c>
      <c r="K202" s="1" t="s">
        <v>43</v>
      </c>
      <c r="L202" s="1" t="s">
        <v>44</v>
      </c>
      <c r="M202" s="1" t="s">
        <v>45</v>
      </c>
      <c r="N202" s="3">
        <v>69</v>
      </c>
      <c r="O202" s="1" t="s">
        <v>52</v>
      </c>
      <c r="Q202" t="str">
        <v>afd62be3-a9be-4361-9c0a-b8b47f70a912</v>
      </c>
    </row>
    <row r="203" spans="1:17" ht="13.8">
      <c r="A203" s="1" t="s">
        <v>247</v>
      </c>
      <c r="B203" s="1" t="s">
        <v>38</v>
      </c>
      <c r="C203" s="1" t="s">
        <v>27</v>
      </c>
      <c r="D203" s="2">
        <v>45664</v>
      </c>
      <c r="E203" s="2">
        <v>45700</v>
      </c>
      <c r="F203" s="3">
        <v>0</v>
      </c>
      <c r="G203" s="1" t="s">
        <v>48</v>
      </c>
      <c r="H203" s="1" t="s">
        <v>49</v>
      </c>
      <c r="I203" s="1"/>
      <c r="J203" s="1" t="s">
        <v>30</v>
      </c>
      <c r="K203" s="1" t="s">
        <v>40</v>
      </c>
      <c r="L203" s="1" t="s">
        <v>41</v>
      </c>
      <c r="M203" s="1" t="s">
        <v>23</v>
      </c>
      <c r="N203" s="3">
        <v>62</v>
      </c>
      <c r="O203" s="1" t="s">
        <v>24</v>
      </c>
      <c r="Q203" t="str">
        <v>94ccf203-d929-49c3-8fb1-e1272cd248a9</v>
      </c>
    </row>
    <row r="204" spans="1:17" ht="13.8">
      <c r="A204" s="1" t="s">
        <v>248</v>
      </c>
      <c r="B204" s="1" t="s">
        <v>26</v>
      </c>
      <c r="C204" s="1" t="s">
        <v>27</v>
      </c>
      <c r="D204" s="2">
        <v>45706</v>
      </c>
      <c r="E204" s="2">
        <v>45855</v>
      </c>
      <c r="F204" s="3">
        <v>0</v>
      </c>
      <c r="G204" s="1" t="s">
        <v>34</v>
      </c>
      <c r="H204" s="1" t="s">
        <v>49</v>
      </c>
      <c r="I204" s="1"/>
      <c r="J204" s="1" t="s">
        <v>20</v>
      </c>
      <c r="K204" s="1" t="s">
        <v>43</v>
      </c>
      <c r="L204" s="1" t="s">
        <v>27</v>
      </c>
      <c r="M204" s="1" t="s">
        <v>45</v>
      </c>
      <c r="N204" s="3">
        <v>50</v>
      </c>
      <c r="O204" s="1" t="s">
        <v>46</v>
      </c>
      <c r="Q204" t="str">
        <v>ee965f60-1817-4d71-a70e-8d70f58ca64e</v>
      </c>
    </row>
    <row r="205" spans="1:17" ht="13.8">
      <c r="A205" s="1" t="s">
        <v>249</v>
      </c>
      <c r="B205" s="1" t="s">
        <v>26</v>
      </c>
      <c r="C205" s="1" t="s">
        <v>17</v>
      </c>
      <c r="D205" s="2">
        <v>45831</v>
      </c>
      <c r="E205" s="2">
        <v>45690</v>
      </c>
      <c r="F205" s="3">
        <v>3106</v>
      </c>
      <c r="G205" s="1" t="s">
        <v>28</v>
      </c>
      <c r="H205" s="1" t="s">
        <v>29</v>
      </c>
      <c r="I205" s="2">
        <v>45928</v>
      </c>
      <c r="J205" s="1" t="s">
        <v>20</v>
      </c>
      <c r="K205" s="1" t="s">
        <v>40</v>
      </c>
      <c r="L205" s="1" t="s">
        <v>22</v>
      </c>
      <c r="M205" s="1" t="s">
        <v>23</v>
      </c>
      <c r="N205" s="3">
        <v>83</v>
      </c>
      <c r="O205" s="1" t="s">
        <v>52</v>
      </c>
      <c r="Q205" t="str">
        <v>9e0def5f-5720-4d91-a343-26dc254aeba0</v>
      </c>
    </row>
    <row r="206" spans="1:17" ht="13.8">
      <c r="A206" s="1" t="s">
        <v>250</v>
      </c>
      <c r="B206" s="1" t="s">
        <v>51</v>
      </c>
      <c r="C206" s="1" t="s">
        <v>27</v>
      </c>
      <c r="D206" s="2">
        <v>45671</v>
      </c>
      <c r="E206" s="2">
        <v>45800</v>
      </c>
      <c r="F206" s="3">
        <v>0</v>
      </c>
      <c r="G206" s="1" t="s">
        <v>48</v>
      </c>
      <c r="H206" s="1" t="s">
        <v>49</v>
      </c>
      <c r="I206" s="1"/>
      <c r="J206" s="1" t="s">
        <v>30</v>
      </c>
      <c r="K206" s="1" t="s">
        <v>21</v>
      </c>
      <c r="L206" s="1" t="s">
        <v>44</v>
      </c>
      <c r="M206" s="1" t="s">
        <v>32</v>
      </c>
      <c r="N206" s="3">
        <v>35</v>
      </c>
      <c r="O206" s="1" t="s">
        <v>46</v>
      </c>
      <c r="Q206" t="str">
        <v>4a8c4432-b948-432c-a785-d93772e0e3bb</v>
      </c>
    </row>
    <row r="207" spans="1:17" ht="13.8">
      <c r="A207" s="1" t="s">
        <v>251</v>
      </c>
      <c r="B207" s="1" t="s">
        <v>38</v>
      </c>
      <c r="C207" s="1" t="s">
        <v>39</v>
      </c>
      <c r="D207" s="2">
        <v>45676</v>
      </c>
      <c r="E207" s="2">
        <v>45676</v>
      </c>
      <c r="F207" s="3">
        <v>0</v>
      </c>
      <c r="G207" s="1" t="s">
        <v>18</v>
      </c>
      <c r="H207" s="1" t="s">
        <v>35</v>
      </c>
      <c r="I207" s="1"/>
      <c r="J207" s="1" t="s">
        <v>20</v>
      </c>
      <c r="K207" s="1" t="s">
        <v>31</v>
      </c>
      <c r="L207" s="1" t="s">
        <v>44</v>
      </c>
      <c r="M207" s="1" t="s">
        <v>45</v>
      </c>
      <c r="N207" s="3">
        <v>85</v>
      </c>
      <c r="O207" s="1" t="s">
        <v>24</v>
      </c>
      <c r="Q207" t="str">
        <v>71915817-634d-4328-9afd-3f9c98e4ed27</v>
      </c>
    </row>
    <row r="208" spans="1:17" ht="13.8">
      <c r="A208" s="1" t="s">
        <v>252</v>
      </c>
      <c r="B208" s="1" t="s">
        <v>51</v>
      </c>
      <c r="C208" s="1" t="s">
        <v>27</v>
      </c>
      <c r="D208" s="2">
        <v>45926</v>
      </c>
      <c r="E208" s="2">
        <v>45736</v>
      </c>
      <c r="F208" s="3">
        <v>0</v>
      </c>
      <c r="G208" s="1" t="s">
        <v>34</v>
      </c>
      <c r="H208" s="1" t="s">
        <v>49</v>
      </c>
      <c r="I208" s="1"/>
      <c r="J208" s="1" t="s">
        <v>30</v>
      </c>
      <c r="K208" s="1" t="s">
        <v>21</v>
      </c>
      <c r="L208" s="1" t="s">
        <v>27</v>
      </c>
      <c r="M208" s="1" t="s">
        <v>32</v>
      </c>
      <c r="N208" s="3">
        <v>48</v>
      </c>
      <c r="O208" s="1" t="s">
        <v>46</v>
      </c>
      <c r="Q208" t="str">
        <v>f9b48d99-2d14-46b4-a373-f096ef11df42</v>
      </c>
    </row>
    <row r="209" spans="1:17" ht="13.8">
      <c r="A209" s="1" t="s">
        <v>253</v>
      </c>
      <c r="B209" s="1" t="s">
        <v>38</v>
      </c>
      <c r="C209" s="1" t="s">
        <v>39</v>
      </c>
      <c r="D209" s="2">
        <v>45869</v>
      </c>
      <c r="E209" s="2">
        <v>45869</v>
      </c>
      <c r="F209" s="3">
        <v>0</v>
      </c>
      <c r="G209" s="1" t="s">
        <v>48</v>
      </c>
      <c r="H209" s="1" t="s">
        <v>29</v>
      </c>
      <c r="I209" s="1"/>
      <c r="J209" s="1" t="s">
        <v>20</v>
      </c>
      <c r="K209" s="1" t="s">
        <v>43</v>
      </c>
      <c r="L209" s="1" t="s">
        <v>44</v>
      </c>
      <c r="M209" s="1" t="s">
        <v>36</v>
      </c>
      <c r="N209" s="3">
        <v>90</v>
      </c>
      <c r="O209" s="1" t="s">
        <v>46</v>
      </c>
      <c r="Q209" t="str">
        <v>4e729bc1-1af1-4ec9-a3e5-1ad07bed1a1e</v>
      </c>
    </row>
    <row r="210" spans="1:17" ht="13.8">
      <c r="A210" s="1" t="s">
        <v>254</v>
      </c>
      <c r="B210" s="1" t="s">
        <v>51</v>
      </c>
      <c r="C210" s="1" t="s">
        <v>27</v>
      </c>
      <c r="D210" s="2">
        <v>45867</v>
      </c>
      <c r="E210" s="2">
        <v>45715</v>
      </c>
      <c r="F210" s="3">
        <v>0</v>
      </c>
      <c r="G210" s="1" t="s">
        <v>28</v>
      </c>
      <c r="H210" s="1" t="s">
        <v>49</v>
      </c>
      <c r="I210" s="1"/>
      <c r="J210" s="1" t="s">
        <v>20</v>
      </c>
      <c r="K210" s="1" t="s">
        <v>40</v>
      </c>
      <c r="L210" s="1" t="s">
        <v>22</v>
      </c>
      <c r="M210" s="1" t="s">
        <v>32</v>
      </c>
      <c r="N210" s="3">
        <v>95</v>
      </c>
      <c r="O210" s="1" t="s">
        <v>46</v>
      </c>
      <c r="Q210" t="str">
        <v>3f117def-c1ae-427a-8ebe-b1e7832f7c77</v>
      </c>
    </row>
    <row r="211" spans="1:17" ht="13.8">
      <c r="A211" s="1" t="s">
        <v>255</v>
      </c>
      <c r="B211" s="1" t="s">
        <v>38</v>
      </c>
      <c r="C211" s="1" t="s">
        <v>17</v>
      </c>
      <c r="D211" s="2">
        <v>45676</v>
      </c>
      <c r="E211" s="2">
        <v>45771</v>
      </c>
      <c r="F211" s="3">
        <v>4732</v>
      </c>
      <c r="G211" s="1" t="s">
        <v>48</v>
      </c>
      <c r="H211" s="1" t="s">
        <v>29</v>
      </c>
      <c r="I211" s="2">
        <v>45931</v>
      </c>
      <c r="J211" s="1" t="s">
        <v>20</v>
      </c>
      <c r="K211" s="1" t="s">
        <v>21</v>
      </c>
      <c r="L211" s="1" t="s">
        <v>22</v>
      </c>
      <c r="M211" s="1" t="s">
        <v>32</v>
      </c>
      <c r="N211" s="3">
        <v>52</v>
      </c>
      <c r="O211" s="1" t="s">
        <v>52</v>
      </c>
      <c r="Q211" t="str">
        <v>b6749bf0-2cc4-4985-bf0c-f7b8d0f84314</v>
      </c>
    </row>
    <row r="212" spans="1:17" ht="13.8">
      <c r="A212" s="1" t="s">
        <v>256</v>
      </c>
      <c r="B212" s="1" t="s">
        <v>51</v>
      </c>
      <c r="C212" s="1" t="s">
        <v>27</v>
      </c>
      <c r="D212" s="2">
        <v>45706</v>
      </c>
      <c r="E212" s="2">
        <v>45857</v>
      </c>
      <c r="F212" s="3">
        <v>0</v>
      </c>
      <c r="G212" s="1" t="s">
        <v>18</v>
      </c>
      <c r="H212" s="1" t="s">
        <v>29</v>
      </c>
      <c r="I212" s="1"/>
      <c r="J212" s="1" t="s">
        <v>20</v>
      </c>
      <c r="K212" s="1" t="s">
        <v>31</v>
      </c>
      <c r="L212" s="1" t="s">
        <v>44</v>
      </c>
      <c r="M212" s="1" t="s">
        <v>36</v>
      </c>
      <c r="N212" s="3">
        <v>47</v>
      </c>
      <c r="O212" s="1" t="s">
        <v>46</v>
      </c>
      <c r="Q212" t="str">
        <v>906494b6-f75b-409e-ab8b-a2eac151e8fb</v>
      </c>
    </row>
    <row r="213" spans="1:17" ht="13.8">
      <c r="A213" s="1" t="s">
        <v>257</v>
      </c>
      <c r="B213" s="1" t="s">
        <v>38</v>
      </c>
      <c r="C213" s="1" t="s">
        <v>17</v>
      </c>
      <c r="D213" s="2">
        <v>45727</v>
      </c>
      <c r="E213" s="2">
        <v>45809</v>
      </c>
      <c r="F213" s="3">
        <v>2281</v>
      </c>
      <c r="G213" s="1" t="s">
        <v>34</v>
      </c>
      <c r="H213" s="1" t="s">
        <v>29</v>
      </c>
      <c r="I213" s="2">
        <v>45906</v>
      </c>
      <c r="J213" s="1" t="s">
        <v>20</v>
      </c>
      <c r="K213" s="1" t="s">
        <v>40</v>
      </c>
      <c r="L213" s="1" t="s">
        <v>27</v>
      </c>
      <c r="M213" s="1" t="s">
        <v>32</v>
      </c>
      <c r="N213" s="3">
        <v>33</v>
      </c>
      <c r="O213" s="1" t="s">
        <v>46</v>
      </c>
      <c r="Q213" t="str">
        <v>3558e0e7-9175-446a-a6ac-03db79b2e61b</v>
      </c>
    </row>
    <row r="214" spans="1:17" ht="13.8">
      <c r="A214" s="1" t="s">
        <v>258</v>
      </c>
      <c r="B214" s="1" t="s">
        <v>51</v>
      </c>
      <c r="C214" s="1" t="s">
        <v>17</v>
      </c>
      <c r="D214" s="2">
        <v>45827</v>
      </c>
      <c r="E214" s="2">
        <v>45861</v>
      </c>
      <c r="F214" s="3">
        <v>2943</v>
      </c>
      <c r="G214" s="1" t="s">
        <v>18</v>
      </c>
      <c r="H214" s="1" t="s">
        <v>49</v>
      </c>
      <c r="I214" s="2">
        <v>45710</v>
      </c>
      <c r="J214" s="1" t="s">
        <v>30</v>
      </c>
      <c r="K214" s="1" t="s">
        <v>21</v>
      </c>
      <c r="L214" s="1" t="s">
        <v>27</v>
      </c>
      <c r="M214" s="1" t="s">
        <v>32</v>
      </c>
      <c r="N214" s="3">
        <v>59</v>
      </c>
      <c r="O214" s="1" t="s">
        <v>52</v>
      </c>
      <c r="Q214" t="str">
        <v>a63bf692-3842-4a52-be61-33a38d334025</v>
      </c>
    </row>
    <row r="215" spans="1:17" ht="13.8">
      <c r="A215" s="1" t="s">
        <v>259</v>
      </c>
      <c r="B215" s="1" t="s">
        <v>26</v>
      </c>
      <c r="C215" s="1" t="s">
        <v>27</v>
      </c>
      <c r="D215" s="2">
        <v>45921</v>
      </c>
      <c r="E215" s="2">
        <v>45927</v>
      </c>
      <c r="F215" s="3">
        <v>0</v>
      </c>
      <c r="G215" s="1" t="s">
        <v>28</v>
      </c>
      <c r="H215" s="1" t="s">
        <v>35</v>
      </c>
      <c r="I215" s="1"/>
      <c r="J215" s="1" t="s">
        <v>30</v>
      </c>
      <c r="K215" s="1" t="s">
        <v>43</v>
      </c>
      <c r="L215" s="1" t="s">
        <v>44</v>
      </c>
      <c r="M215" s="1" t="s">
        <v>23</v>
      </c>
      <c r="N215" s="3">
        <v>48</v>
      </c>
      <c r="O215" s="1" t="s">
        <v>46</v>
      </c>
      <c r="Q215" t="str">
        <v>db944181-9e25-4c36-a51d-abd6200107a9</v>
      </c>
    </row>
    <row r="216" spans="1:17" ht="13.8">
      <c r="A216" s="1" t="s">
        <v>260</v>
      </c>
      <c r="B216" s="1" t="s">
        <v>51</v>
      </c>
      <c r="C216" s="1" t="s">
        <v>27</v>
      </c>
      <c r="D216" s="2">
        <v>45729</v>
      </c>
      <c r="E216" s="2">
        <v>45776</v>
      </c>
      <c r="F216" s="3">
        <v>0</v>
      </c>
      <c r="G216" s="1" t="s">
        <v>34</v>
      </c>
      <c r="H216" s="1" t="s">
        <v>19</v>
      </c>
      <c r="I216" s="1"/>
      <c r="J216" s="1" t="s">
        <v>30</v>
      </c>
      <c r="K216" s="1" t="s">
        <v>21</v>
      </c>
      <c r="L216" s="1" t="s">
        <v>22</v>
      </c>
      <c r="M216" s="1" t="s">
        <v>45</v>
      </c>
      <c r="N216" s="3">
        <v>73</v>
      </c>
      <c r="O216" s="1" t="s">
        <v>46</v>
      </c>
      <c r="Q216" t="str">
        <v>d2c57e7d-a1d6-4676-8ba2-d53abacb0bd0</v>
      </c>
    </row>
    <row r="217" spans="1:17" ht="13.8">
      <c r="A217" s="1" t="s">
        <v>261</v>
      </c>
      <c r="B217" s="1" t="s">
        <v>16</v>
      </c>
      <c r="C217" s="1" t="s">
        <v>39</v>
      </c>
      <c r="D217" s="2">
        <v>45877</v>
      </c>
      <c r="E217" s="2">
        <v>45877</v>
      </c>
      <c r="F217" s="3">
        <v>0</v>
      </c>
      <c r="G217" s="1" t="s">
        <v>34</v>
      </c>
      <c r="H217" s="1" t="s">
        <v>19</v>
      </c>
      <c r="I217" s="1"/>
      <c r="J217" s="1" t="s">
        <v>20</v>
      </c>
      <c r="K217" s="1" t="s">
        <v>21</v>
      </c>
      <c r="L217" s="1" t="s">
        <v>27</v>
      </c>
      <c r="M217" s="1" t="s">
        <v>36</v>
      </c>
      <c r="N217" s="3">
        <v>53</v>
      </c>
      <c r="O217" s="1" t="s">
        <v>46</v>
      </c>
      <c r="Q217" t="str">
        <v>3ee0f706-b683-4ff9-af65-5c8b3c9fc696</v>
      </c>
    </row>
    <row r="218" spans="1:17" ht="13.8">
      <c r="A218" s="1" t="s">
        <v>262</v>
      </c>
      <c r="B218" s="1" t="s">
        <v>16</v>
      </c>
      <c r="C218" s="1" t="s">
        <v>39</v>
      </c>
      <c r="D218" s="2">
        <v>45700</v>
      </c>
      <c r="E218" s="2">
        <v>45700</v>
      </c>
      <c r="F218" s="3">
        <v>0</v>
      </c>
      <c r="G218" s="1" t="s">
        <v>28</v>
      </c>
      <c r="H218" s="1" t="s">
        <v>19</v>
      </c>
      <c r="I218" s="1"/>
      <c r="J218" s="1" t="s">
        <v>30</v>
      </c>
      <c r="K218" s="1" t="s">
        <v>40</v>
      </c>
      <c r="L218" s="1" t="s">
        <v>22</v>
      </c>
      <c r="M218" s="1" t="s">
        <v>36</v>
      </c>
      <c r="N218" s="3">
        <v>50</v>
      </c>
      <c r="O218" s="1" t="s">
        <v>52</v>
      </c>
      <c r="Q218" t="str">
        <v>2aa301c2-b76b-49cd-b0ef-fe5a3b5999b3</v>
      </c>
    </row>
    <row r="219" spans="1:17" ht="13.8">
      <c r="A219" s="1" t="s">
        <v>263</v>
      </c>
      <c r="B219" s="1" t="s">
        <v>51</v>
      </c>
      <c r="C219" s="1" t="s">
        <v>17</v>
      </c>
      <c r="D219" s="2">
        <v>45798</v>
      </c>
      <c r="E219" s="2">
        <v>45925</v>
      </c>
      <c r="F219" s="3">
        <v>4347</v>
      </c>
      <c r="G219" s="1" t="s">
        <v>34</v>
      </c>
      <c r="H219" s="1" t="s">
        <v>19</v>
      </c>
      <c r="I219" s="2">
        <v>45816</v>
      </c>
      <c r="J219" s="1" t="s">
        <v>30</v>
      </c>
      <c r="K219" s="1" t="s">
        <v>31</v>
      </c>
      <c r="L219" s="1" t="s">
        <v>44</v>
      </c>
      <c r="M219" s="1" t="s">
        <v>23</v>
      </c>
      <c r="N219" s="3">
        <v>68</v>
      </c>
      <c r="O219" s="1" t="s">
        <v>52</v>
      </c>
      <c r="Q219" t="str">
        <v>8c33a42d-d418-456e-9ae5-f873ae70199d</v>
      </c>
    </row>
    <row r="220" spans="1:17" ht="13.8">
      <c r="A220" s="1" t="s">
        <v>264</v>
      </c>
      <c r="B220" s="1" t="s">
        <v>38</v>
      </c>
      <c r="C220" s="1" t="s">
        <v>39</v>
      </c>
      <c r="D220" s="2">
        <v>45885</v>
      </c>
      <c r="E220" s="2">
        <v>45885</v>
      </c>
      <c r="F220" s="3">
        <v>0</v>
      </c>
      <c r="G220" s="1" t="s">
        <v>48</v>
      </c>
      <c r="H220" s="1" t="s">
        <v>19</v>
      </c>
      <c r="I220" s="1"/>
      <c r="J220" s="1" t="s">
        <v>30</v>
      </c>
      <c r="K220" s="1" t="s">
        <v>40</v>
      </c>
      <c r="L220" s="1" t="s">
        <v>22</v>
      </c>
      <c r="M220" s="1" t="s">
        <v>32</v>
      </c>
      <c r="N220" s="3">
        <v>63</v>
      </c>
      <c r="O220" s="1" t="s">
        <v>46</v>
      </c>
      <c r="Q220" t="str">
        <v>19388a15-68b6-48cb-a6fb-6b06ef8184e2</v>
      </c>
    </row>
    <row r="221" spans="1:17" ht="13.8">
      <c r="A221" s="1" t="s">
        <v>265</v>
      </c>
      <c r="B221" s="1" t="s">
        <v>51</v>
      </c>
      <c r="C221" s="1" t="s">
        <v>27</v>
      </c>
      <c r="D221" s="2">
        <v>45864</v>
      </c>
      <c r="E221" s="2">
        <v>45827</v>
      </c>
      <c r="F221" s="3">
        <v>0</v>
      </c>
      <c r="G221" s="1" t="s">
        <v>28</v>
      </c>
      <c r="H221" s="1" t="s">
        <v>19</v>
      </c>
      <c r="I221" s="1"/>
      <c r="J221" s="1" t="s">
        <v>20</v>
      </c>
      <c r="K221" s="1" t="s">
        <v>40</v>
      </c>
      <c r="L221" s="1" t="s">
        <v>41</v>
      </c>
      <c r="M221" s="1" t="s">
        <v>45</v>
      </c>
      <c r="N221" s="3">
        <v>35</v>
      </c>
      <c r="O221" s="1" t="s">
        <v>24</v>
      </c>
      <c r="Q221" t="str">
        <v>2b55ab0b-4a26-4e24-a201-2ffb168ab3db</v>
      </c>
    </row>
    <row r="222" spans="1:17" ht="13.8">
      <c r="A222" s="1" t="s">
        <v>266</v>
      </c>
      <c r="B222" s="1" t="s">
        <v>38</v>
      </c>
      <c r="C222" s="1" t="s">
        <v>39</v>
      </c>
      <c r="D222" s="2">
        <v>45846</v>
      </c>
      <c r="E222" s="2">
        <v>45846</v>
      </c>
      <c r="F222" s="3">
        <v>0</v>
      </c>
      <c r="G222" s="1" t="s">
        <v>18</v>
      </c>
      <c r="H222" s="1" t="s">
        <v>19</v>
      </c>
      <c r="I222" s="1"/>
      <c r="J222" s="1" t="s">
        <v>30</v>
      </c>
      <c r="K222" s="1" t="s">
        <v>31</v>
      </c>
      <c r="L222" s="1" t="s">
        <v>41</v>
      </c>
      <c r="M222" s="1" t="s">
        <v>36</v>
      </c>
      <c r="N222" s="3">
        <v>69</v>
      </c>
      <c r="O222" s="1" t="s">
        <v>52</v>
      </c>
      <c r="Q222" t="str">
        <v>1cb1fdd3-bc18-4156-b673-5e146fde3771</v>
      </c>
    </row>
    <row r="223" spans="1:17" ht="13.8">
      <c r="A223" s="1" t="s">
        <v>267</v>
      </c>
      <c r="B223" s="1" t="s">
        <v>26</v>
      </c>
      <c r="C223" s="1" t="s">
        <v>17</v>
      </c>
      <c r="D223" s="2">
        <v>45879</v>
      </c>
      <c r="E223" s="2">
        <v>45887</v>
      </c>
      <c r="F223" s="3">
        <v>3973</v>
      </c>
      <c r="G223" s="1" t="s">
        <v>18</v>
      </c>
      <c r="H223" s="1" t="s">
        <v>19</v>
      </c>
      <c r="I223" s="2">
        <v>45833</v>
      </c>
      <c r="J223" s="1" t="s">
        <v>30</v>
      </c>
      <c r="K223" s="1" t="s">
        <v>43</v>
      </c>
      <c r="L223" s="1" t="s">
        <v>41</v>
      </c>
      <c r="M223" s="1" t="s">
        <v>23</v>
      </c>
      <c r="N223" s="3">
        <v>62</v>
      </c>
      <c r="O223" s="1" t="s">
        <v>52</v>
      </c>
      <c r="Q223" t="str">
        <v>3321f8fb-19b2-4458-9e4e-bfc7eb730c15</v>
      </c>
    </row>
    <row r="224" spans="1:17" ht="13.8">
      <c r="A224" s="1" t="s">
        <v>268</v>
      </c>
      <c r="B224" s="1" t="s">
        <v>51</v>
      </c>
      <c r="C224" s="1" t="s">
        <v>39</v>
      </c>
      <c r="D224" s="2">
        <v>45663</v>
      </c>
      <c r="E224" s="2">
        <v>45663</v>
      </c>
      <c r="F224" s="3">
        <v>0</v>
      </c>
      <c r="G224" s="1" t="s">
        <v>18</v>
      </c>
      <c r="H224" s="1" t="s">
        <v>35</v>
      </c>
      <c r="I224" s="1"/>
      <c r="J224" s="1" t="s">
        <v>20</v>
      </c>
      <c r="K224" s="1" t="s">
        <v>40</v>
      </c>
      <c r="L224" s="1" t="s">
        <v>22</v>
      </c>
      <c r="M224" s="1" t="s">
        <v>23</v>
      </c>
      <c r="N224" s="3">
        <v>42</v>
      </c>
      <c r="O224" s="1" t="s">
        <v>52</v>
      </c>
      <c r="Q224" t="str">
        <v>74170571-ac18-44a2-b372-d4e1a1754219</v>
      </c>
    </row>
    <row r="225" spans="1:17" ht="13.8">
      <c r="A225" s="1" t="s">
        <v>269</v>
      </c>
      <c r="B225" s="1" t="s">
        <v>38</v>
      </c>
      <c r="C225" s="1" t="s">
        <v>17</v>
      </c>
      <c r="D225" s="2">
        <v>45670</v>
      </c>
      <c r="E225" s="2">
        <v>45826</v>
      </c>
      <c r="F225" s="3">
        <v>4995</v>
      </c>
      <c r="G225" s="1" t="s">
        <v>28</v>
      </c>
      <c r="H225" s="1" t="s">
        <v>19</v>
      </c>
      <c r="I225" s="2">
        <v>45779</v>
      </c>
      <c r="J225" s="1" t="s">
        <v>30</v>
      </c>
      <c r="K225" s="1" t="s">
        <v>31</v>
      </c>
      <c r="L225" s="1" t="s">
        <v>27</v>
      </c>
      <c r="M225" s="1" t="s">
        <v>36</v>
      </c>
      <c r="N225" s="3">
        <v>34</v>
      </c>
      <c r="O225" s="1" t="s">
        <v>24</v>
      </c>
      <c r="Q225" t="str">
        <v>d35cb395-4245-4c7e-bb6f-f3574327d506</v>
      </c>
    </row>
    <row r="226" spans="1:17" ht="13.8">
      <c r="A226" s="1" t="s">
        <v>270</v>
      </c>
      <c r="B226" s="1" t="s">
        <v>51</v>
      </c>
      <c r="C226" s="1" t="s">
        <v>39</v>
      </c>
      <c r="D226" s="2">
        <v>45905</v>
      </c>
      <c r="E226" s="2">
        <v>45905</v>
      </c>
      <c r="F226" s="3">
        <v>0</v>
      </c>
      <c r="G226" s="1" t="s">
        <v>18</v>
      </c>
      <c r="H226" s="1" t="s">
        <v>49</v>
      </c>
      <c r="I226" s="1"/>
      <c r="J226" s="1" t="s">
        <v>30</v>
      </c>
      <c r="K226" s="1" t="s">
        <v>43</v>
      </c>
      <c r="L226" s="1" t="s">
        <v>27</v>
      </c>
      <c r="M226" s="1" t="s">
        <v>45</v>
      </c>
      <c r="N226" s="3">
        <v>66</v>
      </c>
      <c r="O226" s="1" t="s">
        <v>52</v>
      </c>
      <c r="Q226" t="str">
        <v>22a45ccc-b82e-4016-8849-0db3c98db08f</v>
      </c>
    </row>
    <row r="227" spans="1:17" ht="13.8">
      <c r="A227" s="1" t="s">
        <v>271</v>
      </c>
      <c r="B227" s="1" t="s">
        <v>16</v>
      </c>
      <c r="C227" s="1" t="s">
        <v>39</v>
      </c>
      <c r="D227" s="2">
        <v>45754</v>
      </c>
      <c r="E227" s="2">
        <v>45754</v>
      </c>
      <c r="F227" s="3">
        <v>0</v>
      </c>
      <c r="G227" s="1" t="s">
        <v>18</v>
      </c>
      <c r="H227" s="1" t="s">
        <v>29</v>
      </c>
      <c r="I227" s="1"/>
      <c r="J227" s="1" t="s">
        <v>30</v>
      </c>
      <c r="K227" s="1" t="s">
        <v>40</v>
      </c>
      <c r="L227" s="1" t="s">
        <v>41</v>
      </c>
      <c r="M227" s="1" t="s">
        <v>23</v>
      </c>
      <c r="N227" s="3">
        <v>58</v>
      </c>
      <c r="O227" s="1" t="s">
        <v>24</v>
      </c>
      <c r="Q227" t="str">
        <v>b9de8e40-65db-4ac2-a4e1-75e08f95a148</v>
      </c>
    </row>
    <row r="228" spans="1:17" ht="13.8">
      <c r="A228" s="1" t="s">
        <v>272</v>
      </c>
      <c r="B228" s="1" t="s">
        <v>16</v>
      </c>
      <c r="C228" s="1" t="s">
        <v>27</v>
      </c>
      <c r="D228" s="2">
        <v>45672</v>
      </c>
      <c r="E228" s="2">
        <v>45788</v>
      </c>
      <c r="F228" s="3">
        <v>0</v>
      </c>
      <c r="G228" s="1" t="s">
        <v>18</v>
      </c>
      <c r="H228" s="1" t="s">
        <v>29</v>
      </c>
      <c r="I228" s="1"/>
      <c r="J228" s="1" t="s">
        <v>20</v>
      </c>
      <c r="K228" s="1" t="s">
        <v>31</v>
      </c>
      <c r="L228" s="1" t="s">
        <v>22</v>
      </c>
      <c r="M228" s="1" t="s">
        <v>32</v>
      </c>
      <c r="N228" s="3">
        <v>75</v>
      </c>
      <c r="O228" s="1" t="s">
        <v>24</v>
      </c>
      <c r="Q228" t="str">
        <v>ea28e20c-52eb-48ac-95cb-c7aee3b30dac</v>
      </c>
    </row>
    <row r="229" spans="1:17" ht="13.8">
      <c r="A229" s="1" t="s">
        <v>273</v>
      </c>
      <c r="B229" s="1" t="s">
        <v>51</v>
      </c>
      <c r="C229" s="1" t="s">
        <v>39</v>
      </c>
      <c r="D229" s="2">
        <v>45755</v>
      </c>
      <c r="E229" s="2">
        <v>45755</v>
      </c>
      <c r="F229" s="3">
        <v>0</v>
      </c>
      <c r="G229" s="1" t="s">
        <v>34</v>
      </c>
      <c r="H229" s="1" t="s">
        <v>19</v>
      </c>
      <c r="I229" s="1"/>
      <c r="J229" s="1" t="s">
        <v>30</v>
      </c>
      <c r="K229" s="1" t="s">
        <v>21</v>
      </c>
      <c r="L229" s="1" t="s">
        <v>22</v>
      </c>
      <c r="M229" s="1" t="s">
        <v>36</v>
      </c>
      <c r="N229" s="3">
        <v>59</v>
      </c>
      <c r="O229" s="1" t="s">
        <v>24</v>
      </c>
      <c r="Q229" t="str">
        <v>141cb7e9-148f-4313-9264-a699c375735e</v>
      </c>
    </row>
    <row r="230" spans="1:17" ht="13.8">
      <c r="A230" s="1" t="s">
        <v>274</v>
      </c>
      <c r="B230" s="1" t="s">
        <v>38</v>
      </c>
      <c r="C230" s="1" t="s">
        <v>17</v>
      </c>
      <c r="D230" s="2">
        <v>45827</v>
      </c>
      <c r="E230" s="2">
        <v>45859</v>
      </c>
      <c r="F230" s="3">
        <v>2799</v>
      </c>
      <c r="G230" s="1" t="s">
        <v>34</v>
      </c>
      <c r="H230" s="1" t="s">
        <v>29</v>
      </c>
      <c r="I230" s="2">
        <v>45748</v>
      </c>
      <c r="J230" s="1" t="s">
        <v>30</v>
      </c>
      <c r="K230" s="1" t="s">
        <v>31</v>
      </c>
      <c r="L230" s="1" t="s">
        <v>22</v>
      </c>
      <c r="M230" s="1" t="s">
        <v>45</v>
      </c>
      <c r="N230" s="3">
        <v>52</v>
      </c>
      <c r="O230" s="1" t="s">
        <v>46</v>
      </c>
      <c r="Q230" t="str">
        <v>b7e7e542-fed0-4557-b20b-1814de603e12</v>
      </c>
    </row>
    <row r="231" spans="1:17" ht="13.8">
      <c r="A231" s="1" t="s">
        <v>275</v>
      </c>
      <c r="B231" s="1" t="s">
        <v>51</v>
      </c>
      <c r="C231" s="1" t="s">
        <v>27</v>
      </c>
      <c r="D231" s="2">
        <v>45778</v>
      </c>
      <c r="E231" s="2">
        <v>45770</v>
      </c>
      <c r="F231" s="3">
        <v>0</v>
      </c>
      <c r="G231" s="1" t="s">
        <v>18</v>
      </c>
      <c r="H231" s="1" t="s">
        <v>29</v>
      </c>
      <c r="I231" s="1"/>
      <c r="J231" s="1" t="s">
        <v>20</v>
      </c>
      <c r="K231" s="1" t="s">
        <v>40</v>
      </c>
      <c r="L231" s="1" t="s">
        <v>22</v>
      </c>
      <c r="M231" s="1" t="s">
        <v>36</v>
      </c>
      <c r="N231" s="3">
        <v>63</v>
      </c>
      <c r="O231" s="1" t="s">
        <v>46</v>
      </c>
      <c r="Q231" t="str">
        <v>56f5fdae-d1d2-4bfc-8b80-32593b90b198</v>
      </c>
    </row>
    <row r="232" spans="1:17" ht="13.8">
      <c r="A232" s="1" t="s">
        <v>276</v>
      </c>
      <c r="B232" s="1" t="s">
        <v>38</v>
      </c>
      <c r="C232" s="1" t="s">
        <v>39</v>
      </c>
      <c r="D232" s="2">
        <v>45670</v>
      </c>
      <c r="E232" s="2">
        <v>45670</v>
      </c>
      <c r="F232" s="3">
        <v>0</v>
      </c>
      <c r="G232" s="1" t="s">
        <v>28</v>
      </c>
      <c r="H232" s="1" t="s">
        <v>19</v>
      </c>
      <c r="I232" s="1"/>
      <c r="J232" s="1" t="s">
        <v>30</v>
      </c>
      <c r="K232" s="1" t="s">
        <v>43</v>
      </c>
      <c r="L232" s="1" t="s">
        <v>44</v>
      </c>
      <c r="M232" s="1" t="s">
        <v>32</v>
      </c>
      <c r="N232" s="3">
        <v>38</v>
      </c>
      <c r="O232" s="1" t="s">
        <v>46</v>
      </c>
      <c r="Q232" t="str">
        <v>a63c160e-5037-4b32-8db8-b85a3c7f3e47</v>
      </c>
    </row>
    <row r="233" spans="1:17" ht="13.8">
      <c r="A233" s="1" t="s">
        <v>277</v>
      </c>
      <c r="B233" s="1" t="s">
        <v>16</v>
      </c>
      <c r="C233" s="1" t="s">
        <v>39</v>
      </c>
      <c r="D233" s="2">
        <v>45772</v>
      </c>
      <c r="E233" s="2">
        <v>45772</v>
      </c>
      <c r="F233" s="3">
        <v>0</v>
      </c>
      <c r="G233" s="1" t="s">
        <v>34</v>
      </c>
      <c r="H233" s="1" t="s">
        <v>35</v>
      </c>
      <c r="I233" s="1"/>
      <c r="J233" s="1" t="s">
        <v>20</v>
      </c>
      <c r="K233" s="1" t="s">
        <v>43</v>
      </c>
      <c r="L233" s="1" t="s">
        <v>27</v>
      </c>
      <c r="M233" s="1" t="s">
        <v>45</v>
      </c>
      <c r="N233" s="3">
        <v>92</v>
      </c>
      <c r="O233" s="1" t="s">
        <v>46</v>
      </c>
      <c r="Q233" t="str">
        <v>5ff1ed60-d7ba-4bd5-9334-d10a345994b0</v>
      </c>
    </row>
    <row r="234" spans="1:17" ht="13.8">
      <c r="A234" s="1" t="s">
        <v>278</v>
      </c>
      <c r="B234" s="1" t="s">
        <v>51</v>
      </c>
      <c r="C234" s="1" t="s">
        <v>17</v>
      </c>
      <c r="D234" s="2">
        <v>45797</v>
      </c>
      <c r="E234" s="2">
        <v>45687</v>
      </c>
      <c r="F234" s="3">
        <v>2914</v>
      </c>
      <c r="G234" s="1" t="s">
        <v>28</v>
      </c>
      <c r="H234" s="1" t="s">
        <v>19</v>
      </c>
      <c r="I234" s="2">
        <v>45807</v>
      </c>
      <c r="J234" s="1" t="s">
        <v>30</v>
      </c>
      <c r="K234" s="1" t="s">
        <v>31</v>
      </c>
      <c r="L234" s="1" t="s">
        <v>44</v>
      </c>
      <c r="M234" s="1" t="s">
        <v>36</v>
      </c>
      <c r="N234" s="3">
        <v>75</v>
      </c>
      <c r="O234" s="1" t="s">
        <v>52</v>
      </c>
      <c r="Q234" t="str">
        <v>730d45ad-593f-4ea3-81aa-52098b0bef2e</v>
      </c>
    </row>
    <row r="235" spans="1:17" ht="13.8">
      <c r="A235" s="1" t="s">
        <v>279</v>
      </c>
      <c r="B235" s="1" t="s">
        <v>26</v>
      </c>
      <c r="C235" s="1" t="s">
        <v>17</v>
      </c>
      <c r="D235" s="2">
        <v>45715</v>
      </c>
      <c r="E235" s="2">
        <v>45888</v>
      </c>
      <c r="F235" s="3">
        <v>4366</v>
      </c>
      <c r="G235" s="1" t="s">
        <v>28</v>
      </c>
      <c r="H235" s="1" t="s">
        <v>35</v>
      </c>
      <c r="I235" s="2">
        <v>45874</v>
      </c>
      <c r="J235" s="1" t="s">
        <v>20</v>
      </c>
      <c r="K235" s="1" t="s">
        <v>31</v>
      </c>
      <c r="L235" s="1" t="s">
        <v>22</v>
      </c>
      <c r="M235" s="1" t="s">
        <v>32</v>
      </c>
      <c r="N235" s="3">
        <v>92</v>
      </c>
      <c r="O235" s="1" t="s">
        <v>52</v>
      </c>
      <c r="Q235" t="str">
        <v>be6ff876-af0f-4f67-b877-f2c0540c4a08</v>
      </c>
    </row>
    <row r="236" spans="1:17" ht="13.8">
      <c r="A236" s="1" t="s">
        <v>280</v>
      </c>
      <c r="B236" s="1" t="s">
        <v>38</v>
      </c>
      <c r="C236" s="1" t="s">
        <v>27</v>
      </c>
      <c r="D236" s="2">
        <v>45767</v>
      </c>
      <c r="E236" s="2">
        <v>45814</v>
      </c>
      <c r="F236" s="3">
        <v>0</v>
      </c>
      <c r="G236" s="1" t="s">
        <v>28</v>
      </c>
      <c r="H236" s="1" t="s">
        <v>29</v>
      </c>
      <c r="I236" s="1"/>
      <c r="J236" s="1" t="s">
        <v>30</v>
      </c>
      <c r="K236" s="1" t="s">
        <v>40</v>
      </c>
      <c r="L236" s="1" t="s">
        <v>44</v>
      </c>
      <c r="M236" s="1" t="s">
        <v>32</v>
      </c>
      <c r="N236" s="3">
        <v>82</v>
      </c>
      <c r="O236" s="1" t="s">
        <v>24</v>
      </c>
      <c r="Q236" t="str">
        <v>cedf551a-9d8b-4dff-91e7-5390d5b8a106</v>
      </c>
    </row>
    <row r="237" spans="1:17" ht="13.8">
      <c r="A237" s="1" t="s">
        <v>281</v>
      </c>
      <c r="B237" s="1" t="s">
        <v>38</v>
      </c>
      <c r="C237" s="1" t="s">
        <v>39</v>
      </c>
      <c r="D237" s="2">
        <v>45743</v>
      </c>
      <c r="E237" s="2">
        <v>45743</v>
      </c>
      <c r="F237" s="3">
        <v>0</v>
      </c>
      <c r="G237" s="1" t="s">
        <v>28</v>
      </c>
      <c r="H237" s="1" t="s">
        <v>19</v>
      </c>
      <c r="I237" s="1"/>
      <c r="J237" s="1" t="s">
        <v>20</v>
      </c>
      <c r="K237" s="1" t="s">
        <v>21</v>
      </c>
      <c r="L237" s="1" t="s">
        <v>22</v>
      </c>
      <c r="M237" s="1" t="s">
        <v>36</v>
      </c>
      <c r="N237" s="3">
        <v>57</v>
      </c>
      <c r="O237" s="1" t="s">
        <v>24</v>
      </c>
      <c r="Q237" t="str">
        <v>7dac53e6-54d7-4b17-9fb6-74bb63f468c9</v>
      </c>
    </row>
    <row r="238" spans="1:17" ht="13.8">
      <c r="A238" s="1" t="s">
        <v>282</v>
      </c>
      <c r="B238" s="1" t="s">
        <v>26</v>
      </c>
      <c r="C238" s="1" t="s">
        <v>39</v>
      </c>
      <c r="D238" s="2">
        <v>45728</v>
      </c>
      <c r="E238" s="2">
        <v>45728</v>
      </c>
      <c r="F238" s="3">
        <v>0</v>
      </c>
      <c r="G238" s="1" t="s">
        <v>34</v>
      </c>
      <c r="H238" s="1" t="s">
        <v>35</v>
      </c>
      <c r="I238" s="1"/>
      <c r="J238" s="1" t="s">
        <v>20</v>
      </c>
      <c r="K238" s="1" t="s">
        <v>21</v>
      </c>
      <c r="L238" s="1" t="s">
        <v>41</v>
      </c>
      <c r="M238" s="1" t="s">
        <v>23</v>
      </c>
      <c r="N238" s="3">
        <v>58</v>
      </c>
      <c r="O238" s="1" t="s">
        <v>24</v>
      </c>
      <c r="Q238" t="str">
        <v>5865b868-975b-47a1-a566-0c016291e083</v>
      </c>
    </row>
    <row r="239" spans="1:17" ht="13.8">
      <c r="A239" s="1" t="s">
        <v>283</v>
      </c>
      <c r="B239" s="1" t="s">
        <v>51</v>
      </c>
      <c r="C239" s="1" t="s">
        <v>17</v>
      </c>
      <c r="D239" s="2">
        <v>45773</v>
      </c>
      <c r="E239" s="2">
        <v>45771</v>
      </c>
      <c r="F239" s="3">
        <v>4593</v>
      </c>
      <c r="G239" s="1" t="s">
        <v>34</v>
      </c>
      <c r="H239" s="1" t="s">
        <v>29</v>
      </c>
      <c r="I239" s="2">
        <v>45729</v>
      </c>
      <c r="J239" s="1" t="s">
        <v>30</v>
      </c>
      <c r="K239" s="1" t="s">
        <v>40</v>
      </c>
      <c r="L239" s="1" t="s">
        <v>44</v>
      </c>
      <c r="M239" s="1" t="s">
        <v>23</v>
      </c>
      <c r="N239" s="3">
        <v>73</v>
      </c>
      <c r="O239" s="1" t="s">
        <v>24</v>
      </c>
      <c r="Q239" t="str">
        <v>f344d551-4fcb-410c-a682-ed859510b6d5</v>
      </c>
    </row>
    <row r="240" spans="1:17" ht="13.8">
      <c r="A240" s="1" t="s">
        <v>284</v>
      </c>
      <c r="B240" s="1" t="s">
        <v>51</v>
      </c>
      <c r="C240" s="1" t="s">
        <v>27</v>
      </c>
      <c r="D240" s="2">
        <v>45746</v>
      </c>
      <c r="E240" s="2">
        <v>45886</v>
      </c>
      <c r="F240" s="3">
        <v>0</v>
      </c>
      <c r="G240" s="1" t="s">
        <v>18</v>
      </c>
      <c r="H240" s="1" t="s">
        <v>19</v>
      </c>
      <c r="I240" s="1"/>
      <c r="J240" s="1" t="s">
        <v>30</v>
      </c>
      <c r="K240" s="1" t="s">
        <v>43</v>
      </c>
      <c r="L240" s="1" t="s">
        <v>22</v>
      </c>
      <c r="M240" s="1" t="s">
        <v>32</v>
      </c>
      <c r="N240" s="3">
        <v>95</v>
      </c>
      <c r="O240" s="1" t="s">
        <v>24</v>
      </c>
      <c r="Q240" t="str">
        <v>e22ff3b2-b4ab-4915-ae95-93b30fe88b8e</v>
      </c>
    </row>
    <row r="241" spans="1:17" ht="13.8">
      <c r="A241" s="1" t="s">
        <v>285</v>
      </c>
      <c r="B241" s="1" t="s">
        <v>38</v>
      </c>
      <c r="C241" s="1" t="s">
        <v>39</v>
      </c>
      <c r="D241" s="2">
        <v>45678</v>
      </c>
      <c r="E241" s="2">
        <v>45678</v>
      </c>
      <c r="F241" s="3">
        <v>0</v>
      </c>
      <c r="G241" s="1" t="s">
        <v>48</v>
      </c>
      <c r="H241" s="1" t="s">
        <v>35</v>
      </c>
      <c r="I241" s="1"/>
      <c r="J241" s="1" t="s">
        <v>20</v>
      </c>
      <c r="K241" s="1" t="s">
        <v>21</v>
      </c>
      <c r="L241" s="1" t="s">
        <v>44</v>
      </c>
      <c r="M241" s="1" t="s">
        <v>45</v>
      </c>
      <c r="N241" s="3">
        <v>53</v>
      </c>
      <c r="O241" s="1" t="s">
        <v>46</v>
      </c>
      <c r="Q241" t="str">
        <v>ff5842ff-4356-4a8d-ba84-4b9ab2281773</v>
      </c>
    </row>
    <row r="242" spans="1:17" ht="13.8">
      <c r="A242" s="1" t="s">
        <v>286</v>
      </c>
      <c r="B242" s="1" t="s">
        <v>51</v>
      </c>
      <c r="C242" s="1" t="s">
        <v>17</v>
      </c>
      <c r="D242" s="2">
        <v>45698</v>
      </c>
      <c r="E242" s="2">
        <v>45688</v>
      </c>
      <c r="F242" s="3">
        <v>2763</v>
      </c>
      <c r="G242" s="1" t="s">
        <v>28</v>
      </c>
      <c r="H242" s="1" t="s">
        <v>19</v>
      </c>
      <c r="I242" s="2">
        <v>45817</v>
      </c>
      <c r="J242" s="1" t="s">
        <v>30</v>
      </c>
      <c r="K242" s="1" t="s">
        <v>43</v>
      </c>
      <c r="L242" s="1" t="s">
        <v>27</v>
      </c>
      <c r="M242" s="1" t="s">
        <v>36</v>
      </c>
      <c r="N242" s="3">
        <v>37</v>
      </c>
      <c r="O242" s="1" t="s">
        <v>52</v>
      </c>
      <c r="Q242" t="str">
        <v>f6d775cb-4f06-4a34-8802-8f713fa5e76e</v>
      </c>
    </row>
    <row r="243" spans="1:17" ht="13.8">
      <c r="A243" s="1" t="s">
        <v>287</v>
      </c>
      <c r="B243" s="1" t="s">
        <v>26</v>
      </c>
      <c r="C243" s="1" t="s">
        <v>27</v>
      </c>
      <c r="D243" s="2">
        <v>45895</v>
      </c>
      <c r="E243" s="2">
        <v>45918</v>
      </c>
      <c r="F243" s="3">
        <v>0</v>
      </c>
      <c r="G243" s="1" t="s">
        <v>18</v>
      </c>
      <c r="H243" s="1" t="s">
        <v>29</v>
      </c>
      <c r="I243" s="1"/>
      <c r="J243" s="1" t="s">
        <v>30</v>
      </c>
      <c r="K243" s="1" t="s">
        <v>43</v>
      </c>
      <c r="L243" s="1" t="s">
        <v>44</v>
      </c>
      <c r="M243" s="1" t="s">
        <v>23</v>
      </c>
      <c r="N243" s="3">
        <v>60</v>
      </c>
      <c r="O243" s="1" t="s">
        <v>46</v>
      </c>
      <c r="Q243" t="str">
        <v>b10864c2-a0cb-436f-95c7-dcbe60b3aa1b</v>
      </c>
    </row>
    <row r="244" spans="1:17" ht="13.8">
      <c r="A244" s="1" t="s">
        <v>288</v>
      </c>
      <c r="B244" s="1" t="s">
        <v>38</v>
      </c>
      <c r="C244" s="1" t="s">
        <v>17</v>
      </c>
      <c r="D244" s="2">
        <v>45758</v>
      </c>
      <c r="E244" s="2">
        <v>45665</v>
      </c>
      <c r="F244" s="3">
        <v>2220</v>
      </c>
      <c r="G244" s="1" t="s">
        <v>34</v>
      </c>
      <c r="H244" s="1" t="s">
        <v>49</v>
      </c>
      <c r="I244" s="2">
        <v>45806</v>
      </c>
      <c r="J244" s="1" t="s">
        <v>20</v>
      </c>
      <c r="K244" s="1" t="s">
        <v>31</v>
      </c>
      <c r="L244" s="1" t="s">
        <v>22</v>
      </c>
      <c r="M244" s="1" t="s">
        <v>45</v>
      </c>
      <c r="N244" s="3">
        <v>45</v>
      </c>
      <c r="O244" s="1" t="s">
        <v>24</v>
      </c>
      <c r="Q244" t="str">
        <v>020fb2dd-23f1-45d6-a2c7-f68ed625b6e7</v>
      </c>
    </row>
    <row r="245" spans="1:17" ht="13.8">
      <c r="A245" s="1" t="s">
        <v>289</v>
      </c>
      <c r="B245" s="1" t="s">
        <v>16</v>
      </c>
      <c r="C245" s="1" t="s">
        <v>27</v>
      </c>
      <c r="D245" s="2">
        <v>45879</v>
      </c>
      <c r="E245" s="2">
        <v>45873</v>
      </c>
      <c r="F245" s="3">
        <v>0</v>
      </c>
      <c r="G245" s="1" t="s">
        <v>34</v>
      </c>
      <c r="H245" s="1" t="s">
        <v>35</v>
      </c>
      <c r="I245" s="1"/>
      <c r="J245" s="1" t="s">
        <v>20</v>
      </c>
      <c r="K245" s="1" t="s">
        <v>21</v>
      </c>
      <c r="L245" s="1" t="s">
        <v>44</v>
      </c>
      <c r="M245" s="1" t="s">
        <v>45</v>
      </c>
      <c r="N245" s="3">
        <v>95</v>
      </c>
      <c r="O245" s="1" t="s">
        <v>46</v>
      </c>
      <c r="Q245" t="str">
        <v>0a22740e-7602-4c2a-a048-e6420ca140c3</v>
      </c>
    </row>
    <row r="246" spans="1:17" ht="13.8">
      <c r="A246" s="1" t="s">
        <v>290</v>
      </c>
      <c r="B246" s="1" t="s">
        <v>38</v>
      </c>
      <c r="C246" s="1" t="s">
        <v>39</v>
      </c>
      <c r="D246" s="2">
        <v>45698</v>
      </c>
      <c r="E246" s="2">
        <v>45698</v>
      </c>
      <c r="F246" s="3">
        <v>0</v>
      </c>
      <c r="G246" s="1" t="s">
        <v>28</v>
      </c>
      <c r="H246" s="1" t="s">
        <v>35</v>
      </c>
      <c r="I246" s="1"/>
      <c r="J246" s="1" t="s">
        <v>20</v>
      </c>
      <c r="K246" s="1" t="s">
        <v>31</v>
      </c>
      <c r="L246" s="1" t="s">
        <v>41</v>
      </c>
      <c r="M246" s="1" t="s">
        <v>23</v>
      </c>
      <c r="N246" s="3">
        <v>48</v>
      </c>
      <c r="O246" s="1" t="s">
        <v>46</v>
      </c>
      <c r="Q246" t="str">
        <v>a425bdd9-aa99-4694-b2cc-e32a94540790</v>
      </c>
    </row>
    <row r="247" spans="1:17" ht="13.8">
      <c r="A247" s="1" t="s">
        <v>291</v>
      </c>
      <c r="B247" s="1" t="s">
        <v>38</v>
      </c>
      <c r="C247" s="1" t="s">
        <v>27</v>
      </c>
      <c r="D247" s="2">
        <v>45799</v>
      </c>
      <c r="E247" s="2">
        <v>45838</v>
      </c>
      <c r="F247" s="3">
        <v>0</v>
      </c>
      <c r="G247" s="1" t="s">
        <v>34</v>
      </c>
      <c r="H247" s="1" t="s">
        <v>49</v>
      </c>
      <c r="I247" s="1"/>
      <c r="J247" s="1" t="s">
        <v>30</v>
      </c>
      <c r="K247" s="1" t="s">
        <v>31</v>
      </c>
      <c r="L247" s="1" t="s">
        <v>44</v>
      </c>
      <c r="M247" s="1" t="s">
        <v>32</v>
      </c>
      <c r="N247" s="3">
        <v>50</v>
      </c>
      <c r="O247" s="1" t="s">
        <v>52</v>
      </c>
      <c r="Q247" t="str">
        <v>bb1f9f5f-0d6e-4cfd-a5a9-235b4b80484e</v>
      </c>
    </row>
    <row r="248" spans="1:17" ht="13.8">
      <c r="A248" s="1" t="s">
        <v>292</v>
      </c>
      <c r="B248" s="1" t="s">
        <v>51</v>
      </c>
      <c r="C248" s="1" t="s">
        <v>17</v>
      </c>
      <c r="D248" s="2">
        <v>45733</v>
      </c>
      <c r="E248" s="2">
        <v>45841</v>
      </c>
      <c r="F248" s="3">
        <v>2740</v>
      </c>
      <c r="G248" s="1" t="s">
        <v>18</v>
      </c>
      <c r="H248" s="1" t="s">
        <v>49</v>
      </c>
      <c r="I248" s="2">
        <v>45748</v>
      </c>
      <c r="J248" s="1" t="s">
        <v>20</v>
      </c>
      <c r="K248" s="1" t="s">
        <v>21</v>
      </c>
      <c r="L248" s="1" t="s">
        <v>22</v>
      </c>
      <c r="M248" s="1" t="s">
        <v>23</v>
      </c>
      <c r="N248" s="3">
        <v>85</v>
      </c>
      <c r="O248" s="1" t="s">
        <v>46</v>
      </c>
      <c r="Q248" t="str">
        <v>25ba58f3-8673-4910-83ca-af4ca214f9d2</v>
      </c>
    </row>
    <row r="249" spans="1:17" ht="13.8">
      <c r="A249" s="1" t="s">
        <v>293</v>
      </c>
      <c r="B249" s="1" t="s">
        <v>26</v>
      </c>
      <c r="C249" s="1" t="s">
        <v>39</v>
      </c>
      <c r="D249" s="2">
        <v>45735</v>
      </c>
      <c r="E249" s="2">
        <v>45735</v>
      </c>
      <c r="F249" s="3">
        <v>0</v>
      </c>
      <c r="G249" s="1" t="s">
        <v>28</v>
      </c>
      <c r="H249" s="1" t="s">
        <v>29</v>
      </c>
      <c r="I249" s="1"/>
      <c r="J249" s="1" t="s">
        <v>20</v>
      </c>
      <c r="K249" s="1" t="s">
        <v>31</v>
      </c>
      <c r="L249" s="1" t="s">
        <v>22</v>
      </c>
      <c r="M249" s="1" t="s">
        <v>23</v>
      </c>
      <c r="N249" s="3">
        <v>83</v>
      </c>
      <c r="O249" s="1" t="s">
        <v>46</v>
      </c>
      <c r="Q249" t="str">
        <v>113dce64-e159-4e7e-9d13-e0b6c9eccb94</v>
      </c>
    </row>
    <row r="250" spans="1:17" ht="13.8">
      <c r="A250" s="1" t="s">
        <v>294</v>
      </c>
      <c r="B250" s="1" t="s">
        <v>16</v>
      </c>
      <c r="C250" s="1" t="s">
        <v>39</v>
      </c>
      <c r="D250" s="2">
        <v>45894</v>
      </c>
      <c r="E250" s="2">
        <v>45894</v>
      </c>
      <c r="F250" s="3">
        <v>0</v>
      </c>
      <c r="G250" s="1" t="s">
        <v>28</v>
      </c>
      <c r="H250" s="1" t="s">
        <v>49</v>
      </c>
      <c r="I250" s="1"/>
      <c r="J250" s="1" t="s">
        <v>20</v>
      </c>
      <c r="K250" s="1" t="s">
        <v>31</v>
      </c>
      <c r="L250" s="1" t="s">
        <v>44</v>
      </c>
      <c r="M250" s="1" t="s">
        <v>32</v>
      </c>
      <c r="N250" s="3">
        <v>65</v>
      </c>
      <c r="O250" s="1" t="s">
        <v>52</v>
      </c>
      <c r="Q250" t="str">
        <v>eb190f49-77ad-490f-931d-ccda305c7ba1</v>
      </c>
    </row>
    <row r="251" spans="1:17" ht="13.8">
      <c r="A251" s="1" t="s">
        <v>295</v>
      </c>
      <c r="B251" s="1" t="s">
        <v>38</v>
      </c>
      <c r="C251" s="1" t="s">
        <v>27</v>
      </c>
      <c r="D251" s="2">
        <v>45929</v>
      </c>
      <c r="E251" s="2">
        <v>45817</v>
      </c>
      <c r="F251" s="3">
        <v>0</v>
      </c>
      <c r="G251" s="1" t="s">
        <v>48</v>
      </c>
      <c r="H251" s="1" t="s">
        <v>49</v>
      </c>
      <c r="I251" s="1"/>
      <c r="J251" s="1" t="s">
        <v>30</v>
      </c>
      <c r="K251" s="1" t="s">
        <v>21</v>
      </c>
      <c r="L251" s="1" t="s">
        <v>44</v>
      </c>
      <c r="M251" s="1" t="s">
        <v>32</v>
      </c>
      <c r="N251" s="3">
        <v>55</v>
      </c>
      <c r="O251" s="1" t="s">
        <v>46</v>
      </c>
      <c r="Q251" t="str">
        <v>5aff00a4-5870-4367-9c1e-c982a245bd19</v>
      </c>
    </row>
    <row r="252" spans="1:17" ht="13.8">
      <c r="A252" s="1" t="s">
        <v>296</v>
      </c>
      <c r="B252" s="1" t="s">
        <v>16</v>
      </c>
      <c r="C252" s="1" t="s">
        <v>39</v>
      </c>
      <c r="D252" s="2">
        <v>45936</v>
      </c>
      <c r="E252" s="2">
        <v>45936</v>
      </c>
      <c r="F252" s="3">
        <v>0</v>
      </c>
      <c r="G252" s="1" t="s">
        <v>18</v>
      </c>
      <c r="H252" s="1" t="s">
        <v>49</v>
      </c>
      <c r="I252" s="1"/>
      <c r="J252" s="1" t="s">
        <v>30</v>
      </c>
      <c r="K252" s="1" t="s">
        <v>31</v>
      </c>
      <c r="L252" s="1" t="s">
        <v>41</v>
      </c>
      <c r="M252" s="1" t="s">
        <v>32</v>
      </c>
      <c r="N252" s="3">
        <v>69</v>
      </c>
      <c r="O252" s="1" t="s">
        <v>24</v>
      </c>
      <c r="Q252" t="str">
        <v>566726f4-ce33-46a4-899e-a9c1c1ecfd32</v>
      </c>
    </row>
    <row r="253" spans="1:17" ht="13.8">
      <c r="A253" s="1" t="s">
        <v>297</v>
      </c>
      <c r="B253" s="1" t="s">
        <v>38</v>
      </c>
      <c r="C253" s="1" t="s">
        <v>39</v>
      </c>
      <c r="D253" s="2">
        <v>45930</v>
      </c>
      <c r="E253" s="2">
        <v>45930</v>
      </c>
      <c r="F253" s="3">
        <v>0</v>
      </c>
      <c r="G253" s="1" t="s">
        <v>18</v>
      </c>
      <c r="H253" s="1" t="s">
        <v>19</v>
      </c>
      <c r="I253" s="1"/>
      <c r="J253" s="1" t="s">
        <v>30</v>
      </c>
      <c r="K253" s="1" t="s">
        <v>21</v>
      </c>
      <c r="L253" s="1" t="s">
        <v>41</v>
      </c>
      <c r="M253" s="1" t="s">
        <v>45</v>
      </c>
      <c r="N253" s="3">
        <v>90</v>
      </c>
      <c r="O253" s="1" t="s">
        <v>24</v>
      </c>
      <c r="Q253" t="str">
        <v>36939547-8cff-4310-a356-58f9c82f1b3d</v>
      </c>
    </row>
    <row r="254" spans="1:17" ht="13.8">
      <c r="A254" s="1" t="s">
        <v>298</v>
      </c>
      <c r="B254" s="1" t="s">
        <v>51</v>
      </c>
      <c r="C254" s="1" t="s">
        <v>39</v>
      </c>
      <c r="D254" s="2">
        <v>45755</v>
      </c>
      <c r="E254" s="2">
        <v>45755</v>
      </c>
      <c r="F254" s="3">
        <v>0</v>
      </c>
      <c r="G254" s="1" t="s">
        <v>34</v>
      </c>
      <c r="H254" s="1" t="s">
        <v>49</v>
      </c>
      <c r="I254" s="1"/>
      <c r="J254" s="1" t="s">
        <v>30</v>
      </c>
      <c r="K254" s="1" t="s">
        <v>40</v>
      </c>
      <c r="L254" s="1" t="s">
        <v>44</v>
      </c>
      <c r="M254" s="1" t="s">
        <v>23</v>
      </c>
      <c r="N254" s="3">
        <v>59</v>
      </c>
      <c r="O254" s="1" t="s">
        <v>52</v>
      </c>
      <c r="Q254" t="str">
        <v>b1b72230-bd5e-4a2c-8158-707e35243b4e</v>
      </c>
    </row>
    <row r="255" spans="1:17" ht="13.8">
      <c r="A255" s="1" t="s">
        <v>299</v>
      </c>
      <c r="B255" s="1" t="s">
        <v>38</v>
      </c>
      <c r="C255" s="1" t="s">
        <v>17</v>
      </c>
      <c r="D255" s="2">
        <v>45700</v>
      </c>
      <c r="E255" s="2">
        <v>45714</v>
      </c>
      <c r="F255" s="3">
        <v>2031</v>
      </c>
      <c r="G255" s="1" t="s">
        <v>18</v>
      </c>
      <c r="H255" s="1" t="s">
        <v>29</v>
      </c>
      <c r="I255" s="2">
        <v>45738</v>
      </c>
      <c r="J255" s="1" t="s">
        <v>20</v>
      </c>
      <c r="K255" s="1" t="s">
        <v>43</v>
      </c>
      <c r="L255" s="1" t="s">
        <v>44</v>
      </c>
      <c r="M255" s="1" t="s">
        <v>23</v>
      </c>
      <c r="N255" s="3">
        <v>95</v>
      </c>
      <c r="O255" s="1" t="s">
        <v>24</v>
      </c>
      <c r="Q255" t="str">
        <v>fa64d984-ca38-46c0-aadc-f8cfd2b9c279</v>
      </c>
    </row>
    <row r="256" spans="1:17" ht="13.8">
      <c r="A256" s="1" t="s">
        <v>300</v>
      </c>
      <c r="B256" s="1" t="s">
        <v>38</v>
      </c>
      <c r="C256" s="1" t="s">
        <v>39</v>
      </c>
      <c r="D256" s="2">
        <v>45897</v>
      </c>
      <c r="E256" s="2">
        <v>45897</v>
      </c>
      <c r="F256" s="3">
        <v>0</v>
      </c>
      <c r="G256" s="1" t="s">
        <v>18</v>
      </c>
      <c r="H256" s="1" t="s">
        <v>19</v>
      </c>
      <c r="I256" s="1"/>
      <c r="J256" s="1" t="s">
        <v>30</v>
      </c>
      <c r="K256" s="1" t="s">
        <v>43</v>
      </c>
      <c r="L256" s="1" t="s">
        <v>27</v>
      </c>
      <c r="M256" s="1" t="s">
        <v>45</v>
      </c>
      <c r="N256" s="3">
        <v>93</v>
      </c>
      <c r="O256" s="1" t="s">
        <v>52</v>
      </c>
      <c r="Q256" t="str">
        <v>43287e8a-2202-4069-9510-c914fd52a3d8</v>
      </c>
    </row>
    <row r="257" spans="1:17" ht="13.8">
      <c r="A257" s="1" t="s">
        <v>301</v>
      </c>
      <c r="B257" s="1" t="s">
        <v>38</v>
      </c>
      <c r="C257" s="1" t="s">
        <v>17</v>
      </c>
      <c r="D257" s="2">
        <v>45901</v>
      </c>
      <c r="E257" s="2">
        <v>45885</v>
      </c>
      <c r="F257" s="3">
        <v>4447</v>
      </c>
      <c r="G257" s="1" t="s">
        <v>48</v>
      </c>
      <c r="H257" s="1" t="s">
        <v>35</v>
      </c>
      <c r="I257" s="2">
        <v>45863</v>
      </c>
      <c r="J257" s="1" t="s">
        <v>30</v>
      </c>
      <c r="K257" s="1" t="s">
        <v>21</v>
      </c>
      <c r="L257" s="1" t="s">
        <v>44</v>
      </c>
      <c r="M257" s="1" t="s">
        <v>36</v>
      </c>
      <c r="N257" s="3">
        <v>90</v>
      </c>
      <c r="O257" s="1" t="s">
        <v>52</v>
      </c>
      <c r="Q257" t="str">
        <v>4c893756-9c69-418c-9736-27c167a3bb06</v>
      </c>
    </row>
    <row r="258" spans="1:17" ht="13.8">
      <c r="A258" s="1" t="s">
        <v>302</v>
      </c>
      <c r="B258" s="1" t="s">
        <v>38</v>
      </c>
      <c r="C258" s="1" t="s">
        <v>27</v>
      </c>
      <c r="D258" s="2">
        <v>45930</v>
      </c>
      <c r="E258" s="2">
        <v>45782</v>
      </c>
      <c r="F258" s="3">
        <v>0</v>
      </c>
      <c r="G258" s="1" t="s">
        <v>28</v>
      </c>
      <c r="H258" s="1" t="s">
        <v>19</v>
      </c>
      <c r="I258" s="1"/>
      <c r="J258" s="1" t="s">
        <v>20</v>
      </c>
      <c r="K258" s="1" t="s">
        <v>40</v>
      </c>
      <c r="L258" s="1" t="s">
        <v>22</v>
      </c>
      <c r="M258" s="1" t="s">
        <v>36</v>
      </c>
      <c r="N258" s="3">
        <v>89</v>
      </c>
      <c r="O258" s="1" t="s">
        <v>46</v>
      </c>
      <c r="Q258" t="str">
        <v>491716d1-934e-44bb-bbbd-99e248faa360</v>
      </c>
    </row>
    <row r="259" spans="1:17" ht="13.8">
      <c r="A259" s="1" t="s">
        <v>303</v>
      </c>
      <c r="B259" s="1" t="s">
        <v>26</v>
      </c>
      <c r="C259" s="1" t="s">
        <v>17</v>
      </c>
      <c r="D259" s="2">
        <v>45933</v>
      </c>
      <c r="E259" s="2">
        <v>45756</v>
      </c>
      <c r="F259" s="3">
        <v>3284</v>
      </c>
      <c r="G259" s="1" t="s">
        <v>34</v>
      </c>
      <c r="H259" s="1" t="s">
        <v>49</v>
      </c>
      <c r="I259" s="2">
        <v>45750</v>
      </c>
      <c r="J259" s="1" t="s">
        <v>20</v>
      </c>
      <c r="K259" s="1" t="s">
        <v>31</v>
      </c>
      <c r="L259" s="1" t="s">
        <v>44</v>
      </c>
      <c r="M259" s="1" t="s">
        <v>32</v>
      </c>
      <c r="N259" s="3">
        <v>42</v>
      </c>
      <c r="O259" s="1" t="s">
        <v>24</v>
      </c>
      <c r="Q259" t="str">
        <v>1e312334-6fd4-4adb-a011-9a4338c82487</v>
      </c>
    </row>
    <row r="260" spans="1:17" ht="13.8">
      <c r="A260" s="1" t="s">
        <v>304</v>
      </c>
      <c r="B260" s="1" t="s">
        <v>16</v>
      </c>
      <c r="C260" s="1" t="s">
        <v>27</v>
      </c>
      <c r="D260" s="2">
        <v>45849</v>
      </c>
      <c r="E260" s="2">
        <v>45802</v>
      </c>
      <c r="F260" s="3">
        <v>0</v>
      </c>
      <c r="G260" s="1" t="s">
        <v>18</v>
      </c>
      <c r="H260" s="1" t="s">
        <v>29</v>
      </c>
      <c r="I260" s="1"/>
      <c r="J260" s="1" t="s">
        <v>20</v>
      </c>
      <c r="K260" s="1" t="s">
        <v>40</v>
      </c>
      <c r="L260" s="1" t="s">
        <v>44</v>
      </c>
      <c r="M260" s="1" t="s">
        <v>23</v>
      </c>
      <c r="N260" s="3">
        <v>72</v>
      </c>
      <c r="O260" s="1" t="s">
        <v>24</v>
      </c>
      <c r="Q260" t="str">
        <v>17b744d6-4922-48fd-890b-db2f720f39e3</v>
      </c>
    </row>
    <row r="261" spans="1:17" ht="13.8">
      <c r="A261" s="1" t="s">
        <v>305</v>
      </c>
      <c r="B261" s="1" t="s">
        <v>38</v>
      </c>
      <c r="C261" s="1" t="s">
        <v>17</v>
      </c>
      <c r="D261" s="2">
        <v>45783</v>
      </c>
      <c r="E261" s="2">
        <v>45851</v>
      </c>
      <c r="F261" s="3">
        <v>2219</v>
      </c>
      <c r="G261" s="1" t="s">
        <v>34</v>
      </c>
      <c r="H261" s="1" t="s">
        <v>35</v>
      </c>
      <c r="I261" s="2">
        <v>45737</v>
      </c>
      <c r="J261" s="1" t="s">
        <v>30</v>
      </c>
      <c r="K261" s="1" t="s">
        <v>21</v>
      </c>
      <c r="L261" s="1" t="s">
        <v>41</v>
      </c>
      <c r="M261" s="1" t="s">
        <v>45</v>
      </c>
      <c r="N261" s="3">
        <v>86</v>
      </c>
      <c r="O261" s="1" t="s">
        <v>24</v>
      </c>
      <c r="Q261" t="str">
        <v>cec2fdfb-4491-4cde-aa72-5c17e3ca658c</v>
      </c>
    </row>
    <row r="262" spans="1:17" ht="13.8">
      <c r="A262" s="1" t="s">
        <v>306</v>
      </c>
      <c r="B262" s="1" t="s">
        <v>51</v>
      </c>
      <c r="C262" s="1" t="s">
        <v>17</v>
      </c>
      <c r="D262" s="2">
        <v>45758</v>
      </c>
      <c r="E262" s="2">
        <v>45885</v>
      </c>
      <c r="F262" s="3">
        <v>2929</v>
      </c>
      <c r="G262" s="1" t="s">
        <v>18</v>
      </c>
      <c r="H262" s="1" t="s">
        <v>19</v>
      </c>
      <c r="I262" s="2">
        <v>45741</v>
      </c>
      <c r="J262" s="1" t="s">
        <v>20</v>
      </c>
      <c r="K262" s="1" t="s">
        <v>40</v>
      </c>
      <c r="L262" s="1" t="s">
        <v>22</v>
      </c>
      <c r="M262" s="1" t="s">
        <v>23</v>
      </c>
      <c r="N262" s="3">
        <v>32</v>
      </c>
      <c r="O262" s="1" t="s">
        <v>52</v>
      </c>
      <c r="Q262" t="str">
        <v>14b5fda0-28d8-46a6-85b7-924539222ece</v>
      </c>
    </row>
    <row r="263" spans="1:17" ht="13.8">
      <c r="A263" s="1" t="s">
        <v>307</v>
      </c>
      <c r="B263" s="1" t="s">
        <v>16</v>
      </c>
      <c r="C263" s="1" t="s">
        <v>17</v>
      </c>
      <c r="D263" s="2">
        <v>45694</v>
      </c>
      <c r="E263" s="2">
        <v>45695</v>
      </c>
      <c r="F263" s="3">
        <v>4048</v>
      </c>
      <c r="G263" s="1" t="s">
        <v>34</v>
      </c>
      <c r="H263" s="1" t="s">
        <v>49</v>
      </c>
      <c r="I263" s="2">
        <v>45658</v>
      </c>
      <c r="J263" s="1" t="s">
        <v>30</v>
      </c>
      <c r="K263" s="1" t="s">
        <v>43</v>
      </c>
      <c r="L263" s="1" t="s">
        <v>27</v>
      </c>
      <c r="M263" s="1" t="s">
        <v>32</v>
      </c>
      <c r="N263" s="3">
        <v>49</v>
      </c>
      <c r="O263" s="1" t="s">
        <v>24</v>
      </c>
      <c r="Q263" t="str">
        <v>6419547c-4ea2-48c6-9006-ff1e8879806a</v>
      </c>
    </row>
    <row r="264" spans="1:17" ht="13.8">
      <c r="A264" s="1" t="s">
        <v>308</v>
      </c>
      <c r="B264" s="1" t="s">
        <v>38</v>
      </c>
      <c r="C264" s="1" t="s">
        <v>17</v>
      </c>
      <c r="D264" s="4">
        <v>45946</v>
      </c>
      <c r="E264" s="2">
        <v>45937</v>
      </c>
      <c r="F264" s="3">
        <v>4221</v>
      </c>
      <c r="G264" s="1" t="s">
        <v>18</v>
      </c>
      <c r="H264" s="1" t="s">
        <v>29</v>
      </c>
      <c r="I264" s="2">
        <v>45687</v>
      </c>
      <c r="J264" s="1" t="s">
        <v>20</v>
      </c>
      <c r="K264" s="1" t="s">
        <v>40</v>
      </c>
      <c r="L264" s="1" t="s">
        <v>41</v>
      </c>
      <c r="M264" s="1" t="s">
        <v>45</v>
      </c>
      <c r="N264" s="3">
        <v>33</v>
      </c>
      <c r="O264" s="1" t="s">
        <v>24</v>
      </c>
      <c r="Q264" t="str">
        <v>91a5a8bb-2280-414a-b4c1-768580056d08</v>
      </c>
    </row>
    <row r="265" spans="1:17" ht="13.8">
      <c r="A265" s="1" t="s">
        <v>309</v>
      </c>
      <c r="B265" s="1" t="s">
        <v>16</v>
      </c>
      <c r="C265" s="1" t="s">
        <v>27</v>
      </c>
      <c r="D265" s="2">
        <v>45850</v>
      </c>
      <c r="E265" s="2">
        <v>45830</v>
      </c>
      <c r="F265" s="3">
        <v>0</v>
      </c>
      <c r="G265" s="1" t="s">
        <v>34</v>
      </c>
      <c r="H265" s="1" t="s">
        <v>49</v>
      </c>
      <c r="I265" s="1"/>
      <c r="J265" s="1" t="s">
        <v>30</v>
      </c>
      <c r="K265" s="1" t="s">
        <v>40</v>
      </c>
      <c r="L265" s="1" t="s">
        <v>44</v>
      </c>
      <c r="M265" s="1" t="s">
        <v>32</v>
      </c>
      <c r="N265" s="3">
        <v>72</v>
      </c>
      <c r="O265" s="1" t="s">
        <v>24</v>
      </c>
      <c r="Q265" t="str">
        <v>ce35d6e5-44aa-4634-afe3-e27b28ee1d33</v>
      </c>
    </row>
    <row r="266" spans="1:17" ht="13.8">
      <c r="A266" s="1" t="s">
        <v>310</v>
      </c>
      <c r="B266" s="1" t="s">
        <v>51</v>
      </c>
      <c r="C266" s="1" t="s">
        <v>39</v>
      </c>
      <c r="D266" s="2">
        <v>45755</v>
      </c>
      <c r="E266" s="2">
        <v>45755</v>
      </c>
      <c r="F266" s="3">
        <v>0</v>
      </c>
      <c r="G266" s="1" t="s">
        <v>18</v>
      </c>
      <c r="H266" s="1" t="s">
        <v>19</v>
      </c>
      <c r="I266" s="1"/>
      <c r="J266" s="1" t="s">
        <v>30</v>
      </c>
      <c r="K266" s="1" t="s">
        <v>31</v>
      </c>
      <c r="L266" s="1" t="s">
        <v>22</v>
      </c>
      <c r="M266" s="1" t="s">
        <v>45</v>
      </c>
      <c r="N266" s="3">
        <v>81</v>
      </c>
      <c r="O266" s="1" t="s">
        <v>46</v>
      </c>
      <c r="Q266" t="str">
        <v>10c4e4ab-04ef-466f-bebe-28eb5c5fdd3e</v>
      </c>
    </row>
    <row r="267" spans="1:17" ht="13.8">
      <c r="A267" s="1" t="s">
        <v>311</v>
      </c>
      <c r="B267" s="1" t="s">
        <v>26</v>
      </c>
      <c r="C267" s="1" t="s">
        <v>27</v>
      </c>
      <c r="D267" s="2">
        <v>45892</v>
      </c>
      <c r="E267" s="2">
        <v>45841</v>
      </c>
      <c r="F267" s="3">
        <v>0</v>
      </c>
      <c r="G267" s="1" t="s">
        <v>48</v>
      </c>
      <c r="H267" s="1" t="s">
        <v>29</v>
      </c>
      <c r="I267" s="1"/>
      <c r="J267" s="1" t="s">
        <v>30</v>
      </c>
      <c r="K267" s="1" t="s">
        <v>43</v>
      </c>
      <c r="L267" s="1" t="s">
        <v>27</v>
      </c>
      <c r="M267" s="1" t="s">
        <v>45</v>
      </c>
      <c r="N267" s="3">
        <v>83</v>
      </c>
      <c r="O267" s="1" t="s">
        <v>24</v>
      </c>
      <c r="Q267" t="str">
        <v>a8425849-33ca-4d25-9e25-c778755a0646</v>
      </c>
    </row>
    <row r="268" spans="1:17" ht="13.8">
      <c r="A268" s="1" t="s">
        <v>312</v>
      </c>
      <c r="B268" s="1" t="s">
        <v>16</v>
      </c>
      <c r="C268" s="1" t="s">
        <v>17</v>
      </c>
      <c r="D268" s="2">
        <v>45715</v>
      </c>
      <c r="E268" s="2">
        <v>45822</v>
      </c>
      <c r="F268" s="3">
        <v>3713</v>
      </c>
      <c r="G268" s="1" t="s">
        <v>48</v>
      </c>
      <c r="H268" s="1" t="s">
        <v>35</v>
      </c>
      <c r="I268" s="4">
        <v>45944</v>
      </c>
      <c r="J268" s="1" t="s">
        <v>30</v>
      </c>
      <c r="K268" s="1" t="s">
        <v>31</v>
      </c>
      <c r="L268" s="1" t="s">
        <v>41</v>
      </c>
      <c r="M268" s="1" t="s">
        <v>23</v>
      </c>
      <c r="N268" s="3">
        <v>86</v>
      </c>
      <c r="O268" s="1" t="s">
        <v>52</v>
      </c>
      <c r="Q268" t="str">
        <v>47662d98-3090-4888-b1dd-06c3a131171c</v>
      </c>
    </row>
    <row r="269" spans="1:17" ht="13.8">
      <c r="A269" s="1" t="s">
        <v>313</v>
      </c>
      <c r="B269" s="1" t="s">
        <v>51</v>
      </c>
      <c r="C269" s="1" t="s">
        <v>27</v>
      </c>
      <c r="D269" s="2">
        <v>45760</v>
      </c>
      <c r="E269" s="2">
        <v>45708</v>
      </c>
      <c r="F269" s="3">
        <v>0</v>
      </c>
      <c r="G269" s="1" t="s">
        <v>34</v>
      </c>
      <c r="H269" s="1" t="s">
        <v>19</v>
      </c>
      <c r="I269" s="1"/>
      <c r="J269" s="1" t="s">
        <v>30</v>
      </c>
      <c r="K269" s="1" t="s">
        <v>43</v>
      </c>
      <c r="L269" s="1" t="s">
        <v>27</v>
      </c>
      <c r="M269" s="1" t="s">
        <v>36</v>
      </c>
      <c r="N269" s="3">
        <v>91</v>
      </c>
      <c r="O269" s="1" t="s">
        <v>52</v>
      </c>
      <c r="Q269" t="str">
        <v>8eadefd8-573b-41fb-9af3-09e8769c8e0a</v>
      </c>
    </row>
    <row r="270" spans="1:17" ht="13.8">
      <c r="A270" s="1" t="s">
        <v>314</v>
      </c>
      <c r="B270" s="1" t="s">
        <v>16</v>
      </c>
      <c r="C270" s="1" t="s">
        <v>27</v>
      </c>
      <c r="D270" s="2">
        <v>45679</v>
      </c>
      <c r="E270" s="2">
        <v>45742</v>
      </c>
      <c r="F270" s="3">
        <v>0</v>
      </c>
      <c r="G270" s="1" t="s">
        <v>18</v>
      </c>
      <c r="H270" s="1" t="s">
        <v>19</v>
      </c>
      <c r="I270" s="1"/>
      <c r="J270" s="1" t="s">
        <v>30</v>
      </c>
      <c r="K270" s="1" t="s">
        <v>43</v>
      </c>
      <c r="L270" s="1" t="s">
        <v>41</v>
      </c>
      <c r="M270" s="1" t="s">
        <v>45</v>
      </c>
      <c r="N270" s="3">
        <v>35</v>
      </c>
      <c r="O270" s="1" t="s">
        <v>46</v>
      </c>
      <c r="Q270" t="str">
        <v>f83bbd4f-8c82-4c09-b083-807736403872</v>
      </c>
    </row>
    <row r="271" spans="1:17" ht="13.8">
      <c r="A271" s="1" t="s">
        <v>315</v>
      </c>
      <c r="B271" s="1" t="s">
        <v>26</v>
      </c>
      <c r="C271" s="1" t="s">
        <v>17</v>
      </c>
      <c r="D271" s="2">
        <v>45766</v>
      </c>
      <c r="E271" s="2">
        <v>45741</v>
      </c>
      <c r="F271" s="3">
        <v>3791</v>
      </c>
      <c r="G271" s="1" t="s">
        <v>28</v>
      </c>
      <c r="H271" s="1" t="s">
        <v>35</v>
      </c>
      <c r="I271" s="2">
        <v>45885</v>
      </c>
      <c r="J271" s="1" t="s">
        <v>20</v>
      </c>
      <c r="K271" s="1" t="s">
        <v>40</v>
      </c>
      <c r="L271" s="1" t="s">
        <v>22</v>
      </c>
      <c r="M271" s="1" t="s">
        <v>32</v>
      </c>
      <c r="N271" s="3">
        <v>62</v>
      </c>
      <c r="O271" s="1" t="s">
        <v>24</v>
      </c>
      <c r="Q271" t="str">
        <v>4951b811-e72a-4c77-bdfb-2c84a32cabdf</v>
      </c>
    </row>
    <row r="272" spans="1:17" ht="13.8">
      <c r="A272" s="1" t="s">
        <v>316</v>
      </c>
      <c r="B272" s="1" t="s">
        <v>26</v>
      </c>
      <c r="C272" s="1" t="s">
        <v>17</v>
      </c>
      <c r="D272" s="2">
        <v>45676</v>
      </c>
      <c r="E272" s="2">
        <v>45659</v>
      </c>
      <c r="F272" s="3">
        <v>3753</v>
      </c>
      <c r="G272" s="1" t="s">
        <v>18</v>
      </c>
      <c r="H272" s="1" t="s">
        <v>49</v>
      </c>
      <c r="I272" s="2">
        <v>45868</v>
      </c>
      <c r="J272" s="1" t="s">
        <v>30</v>
      </c>
      <c r="K272" s="1" t="s">
        <v>43</v>
      </c>
      <c r="L272" s="1" t="s">
        <v>44</v>
      </c>
      <c r="M272" s="1" t="s">
        <v>36</v>
      </c>
      <c r="N272" s="3">
        <v>50</v>
      </c>
      <c r="O272" s="1" t="s">
        <v>24</v>
      </c>
      <c r="Q272" t="str">
        <v>54ff2491-0a2b-41d4-ac9e-b3e6af600101</v>
      </c>
    </row>
    <row r="273" spans="1:17" ht="13.8">
      <c r="A273" s="1" t="s">
        <v>317</v>
      </c>
      <c r="B273" s="1" t="s">
        <v>16</v>
      </c>
      <c r="C273" s="1" t="s">
        <v>27</v>
      </c>
      <c r="D273" s="2">
        <v>45763</v>
      </c>
      <c r="E273" s="2">
        <v>45826</v>
      </c>
      <c r="F273" s="3">
        <v>0</v>
      </c>
      <c r="G273" s="1" t="s">
        <v>18</v>
      </c>
      <c r="H273" s="1" t="s">
        <v>49</v>
      </c>
      <c r="I273" s="1"/>
      <c r="J273" s="1" t="s">
        <v>30</v>
      </c>
      <c r="K273" s="1" t="s">
        <v>43</v>
      </c>
      <c r="L273" s="1" t="s">
        <v>22</v>
      </c>
      <c r="M273" s="1" t="s">
        <v>32</v>
      </c>
      <c r="N273" s="3">
        <v>56</v>
      </c>
      <c r="O273" s="1" t="s">
        <v>46</v>
      </c>
      <c r="Q273" t="str">
        <v>ff7d8d17-b705-43b0-bb51-0086859cd940</v>
      </c>
    </row>
    <row r="274" spans="1:17" ht="13.8">
      <c r="A274" s="1" t="s">
        <v>318</v>
      </c>
      <c r="B274" s="1" t="s">
        <v>26</v>
      </c>
      <c r="C274" s="1" t="s">
        <v>17</v>
      </c>
      <c r="D274" s="2">
        <v>45760</v>
      </c>
      <c r="E274" s="2">
        <v>45792</v>
      </c>
      <c r="F274" s="3">
        <v>2330</v>
      </c>
      <c r="G274" s="1" t="s">
        <v>18</v>
      </c>
      <c r="H274" s="1" t="s">
        <v>19</v>
      </c>
      <c r="I274" s="2">
        <v>45841</v>
      </c>
      <c r="J274" s="1" t="s">
        <v>20</v>
      </c>
      <c r="K274" s="1" t="s">
        <v>21</v>
      </c>
      <c r="L274" s="1" t="s">
        <v>41</v>
      </c>
      <c r="M274" s="1" t="s">
        <v>32</v>
      </c>
      <c r="N274" s="3">
        <v>39</v>
      </c>
      <c r="O274" s="1" t="s">
        <v>24</v>
      </c>
      <c r="Q274" t="str">
        <v>c69d6da7-1057-4e50-865c-eac06eead3d7</v>
      </c>
    </row>
    <row r="275" spans="1:17" ht="13.8">
      <c r="A275" s="1" t="s">
        <v>319</v>
      </c>
      <c r="B275" s="1" t="s">
        <v>51</v>
      </c>
      <c r="C275" s="1" t="s">
        <v>17</v>
      </c>
      <c r="D275" s="2">
        <v>45719</v>
      </c>
      <c r="E275" s="2">
        <v>45807</v>
      </c>
      <c r="F275" s="3">
        <v>4920</v>
      </c>
      <c r="G275" s="1" t="s">
        <v>18</v>
      </c>
      <c r="H275" s="1" t="s">
        <v>29</v>
      </c>
      <c r="I275" s="2">
        <v>45707</v>
      </c>
      <c r="J275" s="1" t="s">
        <v>30</v>
      </c>
      <c r="K275" s="1" t="s">
        <v>21</v>
      </c>
      <c r="L275" s="1" t="s">
        <v>41</v>
      </c>
      <c r="M275" s="1" t="s">
        <v>23</v>
      </c>
      <c r="N275" s="3">
        <v>92</v>
      </c>
      <c r="O275" s="1" t="s">
        <v>52</v>
      </c>
      <c r="Q275" t="str">
        <v>174f1c31-6ca4-40ff-b0f7-0570880323ac</v>
      </c>
    </row>
    <row r="276" spans="1:17" ht="13.8">
      <c r="A276" s="1" t="s">
        <v>320</v>
      </c>
      <c r="B276" s="1" t="s">
        <v>38</v>
      </c>
      <c r="C276" s="1" t="s">
        <v>27</v>
      </c>
      <c r="D276" s="2">
        <v>45730</v>
      </c>
      <c r="E276" s="2">
        <v>45906</v>
      </c>
      <c r="F276" s="3">
        <v>0</v>
      </c>
      <c r="G276" s="1" t="s">
        <v>48</v>
      </c>
      <c r="H276" s="1" t="s">
        <v>35</v>
      </c>
      <c r="I276" s="1"/>
      <c r="J276" s="1" t="s">
        <v>20</v>
      </c>
      <c r="K276" s="1" t="s">
        <v>31</v>
      </c>
      <c r="L276" s="1" t="s">
        <v>41</v>
      </c>
      <c r="M276" s="1" t="s">
        <v>32</v>
      </c>
      <c r="N276" s="3">
        <v>88</v>
      </c>
      <c r="O276" s="1" t="s">
        <v>52</v>
      </c>
      <c r="Q276" t="str">
        <v>c7c1b764-717d-458d-a326-6ccee20bce7b</v>
      </c>
    </row>
    <row r="277" spans="1:17" ht="13.8">
      <c r="A277" s="1" t="s">
        <v>321</v>
      </c>
      <c r="B277" s="1" t="s">
        <v>16</v>
      </c>
      <c r="C277" s="1" t="s">
        <v>39</v>
      </c>
      <c r="D277" s="2">
        <v>45666</v>
      </c>
      <c r="E277" s="2">
        <v>45666</v>
      </c>
      <c r="F277" s="3">
        <v>0</v>
      </c>
      <c r="G277" s="1" t="s">
        <v>34</v>
      </c>
      <c r="H277" s="1" t="s">
        <v>49</v>
      </c>
      <c r="I277" s="1"/>
      <c r="J277" s="1" t="s">
        <v>30</v>
      </c>
      <c r="K277" s="1" t="s">
        <v>40</v>
      </c>
      <c r="L277" s="1" t="s">
        <v>41</v>
      </c>
      <c r="M277" s="1" t="s">
        <v>23</v>
      </c>
      <c r="N277" s="3">
        <v>86</v>
      </c>
      <c r="O277" s="1" t="s">
        <v>24</v>
      </c>
      <c r="Q277" t="str">
        <v>fe5fc581-c80e-41ac-9561-c86bf3c87a81</v>
      </c>
    </row>
    <row r="278" spans="1:17" ht="13.8">
      <c r="A278" s="1" t="s">
        <v>322</v>
      </c>
      <c r="B278" s="1" t="s">
        <v>51</v>
      </c>
      <c r="C278" s="1" t="s">
        <v>39</v>
      </c>
      <c r="D278" s="2">
        <v>45852</v>
      </c>
      <c r="E278" s="2">
        <v>45852</v>
      </c>
      <c r="F278" s="3">
        <v>0</v>
      </c>
      <c r="G278" s="1" t="s">
        <v>28</v>
      </c>
      <c r="H278" s="1" t="s">
        <v>49</v>
      </c>
      <c r="I278" s="1"/>
      <c r="J278" s="1" t="s">
        <v>30</v>
      </c>
      <c r="K278" s="1" t="s">
        <v>21</v>
      </c>
      <c r="L278" s="1" t="s">
        <v>27</v>
      </c>
      <c r="M278" s="1" t="s">
        <v>23</v>
      </c>
      <c r="N278" s="3">
        <v>50</v>
      </c>
      <c r="O278" s="1" t="s">
        <v>24</v>
      </c>
      <c r="Q278" t="str">
        <v>b11537d9-2405-467c-93f4-d3bb9b86ed10</v>
      </c>
    </row>
    <row r="279" spans="1:17" ht="13.8">
      <c r="A279" s="1" t="s">
        <v>323</v>
      </c>
      <c r="B279" s="1" t="s">
        <v>38</v>
      </c>
      <c r="C279" s="1" t="s">
        <v>17</v>
      </c>
      <c r="D279" s="2">
        <v>45814</v>
      </c>
      <c r="E279" s="4">
        <v>45942</v>
      </c>
      <c r="F279" s="3">
        <v>3272</v>
      </c>
      <c r="G279" s="1" t="s">
        <v>48</v>
      </c>
      <c r="H279" s="1" t="s">
        <v>19</v>
      </c>
      <c r="I279" s="2">
        <v>45750</v>
      </c>
      <c r="J279" s="1" t="s">
        <v>20</v>
      </c>
      <c r="K279" s="1" t="s">
        <v>31</v>
      </c>
      <c r="L279" s="1" t="s">
        <v>44</v>
      </c>
      <c r="M279" s="1" t="s">
        <v>45</v>
      </c>
      <c r="N279" s="3">
        <v>57</v>
      </c>
      <c r="O279" s="1" t="s">
        <v>24</v>
      </c>
      <c r="Q279" t="str">
        <v>02a50720-bb14-4ea5-9704-76a461f2a816</v>
      </c>
    </row>
    <row r="280" spans="1:17" ht="13.8">
      <c r="A280" s="1" t="s">
        <v>324</v>
      </c>
      <c r="B280" s="1" t="s">
        <v>26</v>
      </c>
      <c r="C280" s="1" t="s">
        <v>17</v>
      </c>
      <c r="D280" s="2">
        <v>45708</v>
      </c>
      <c r="E280" s="2">
        <v>45701</v>
      </c>
      <c r="F280" s="3">
        <v>3429</v>
      </c>
      <c r="G280" s="1" t="s">
        <v>34</v>
      </c>
      <c r="H280" s="1" t="s">
        <v>35</v>
      </c>
      <c r="I280" s="2">
        <v>45823</v>
      </c>
      <c r="J280" s="1" t="s">
        <v>20</v>
      </c>
      <c r="K280" s="1" t="s">
        <v>21</v>
      </c>
      <c r="L280" s="1" t="s">
        <v>44</v>
      </c>
      <c r="M280" s="1" t="s">
        <v>32</v>
      </c>
      <c r="N280" s="3">
        <v>50</v>
      </c>
      <c r="O280" s="1" t="s">
        <v>24</v>
      </c>
      <c r="Q280" t="str">
        <v>5cf9edfb-ac48-4dbb-a4e0-0d4ff1a92bf2</v>
      </c>
    </row>
    <row r="281" spans="1:17" ht="13.8">
      <c r="A281" s="1" t="s">
        <v>325</v>
      </c>
      <c r="B281" s="1" t="s">
        <v>38</v>
      </c>
      <c r="C281" s="1" t="s">
        <v>39</v>
      </c>
      <c r="D281" s="2">
        <v>45784</v>
      </c>
      <c r="E281" s="2">
        <v>45784</v>
      </c>
      <c r="F281" s="3">
        <v>0</v>
      </c>
      <c r="G281" s="1" t="s">
        <v>28</v>
      </c>
      <c r="H281" s="1" t="s">
        <v>49</v>
      </c>
      <c r="I281" s="1"/>
      <c r="J281" s="1" t="s">
        <v>30</v>
      </c>
      <c r="K281" s="1" t="s">
        <v>43</v>
      </c>
      <c r="L281" s="1" t="s">
        <v>44</v>
      </c>
      <c r="M281" s="1" t="s">
        <v>45</v>
      </c>
      <c r="N281" s="3">
        <v>91</v>
      </c>
      <c r="O281" s="1" t="s">
        <v>46</v>
      </c>
      <c r="Q281" t="str">
        <v>5b618ad5-534f-498a-86a3-7d19e83d8f0a</v>
      </c>
    </row>
    <row r="282" spans="1:17" ht="13.8">
      <c r="A282" s="1" t="s">
        <v>326</v>
      </c>
      <c r="B282" s="1" t="s">
        <v>26</v>
      </c>
      <c r="C282" s="1" t="s">
        <v>27</v>
      </c>
      <c r="D282" s="2">
        <v>45714</v>
      </c>
      <c r="E282" s="2">
        <v>45930</v>
      </c>
      <c r="F282" s="3">
        <v>0</v>
      </c>
      <c r="G282" s="1" t="s">
        <v>48</v>
      </c>
      <c r="H282" s="1" t="s">
        <v>19</v>
      </c>
      <c r="I282" s="1"/>
      <c r="J282" s="1" t="s">
        <v>20</v>
      </c>
      <c r="K282" s="1" t="s">
        <v>21</v>
      </c>
      <c r="L282" s="1" t="s">
        <v>44</v>
      </c>
      <c r="M282" s="1" t="s">
        <v>23</v>
      </c>
      <c r="N282" s="3">
        <v>37</v>
      </c>
      <c r="O282" s="1" t="s">
        <v>52</v>
      </c>
      <c r="Q282" t="str">
        <v>110e67b2-e8cc-4c0e-ac9e-9b2b4f545704</v>
      </c>
    </row>
    <row r="283" spans="1:17" ht="13.8">
      <c r="A283" s="1" t="s">
        <v>327</v>
      </c>
      <c r="B283" s="1" t="s">
        <v>38</v>
      </c>
      <c r="C283" s="1" t="s">
        <v>17</v>
      </c>
      <c r="D283" s="2">
        <v>45828</v>
      </c>
      <c r="E283" s="4">
        <v>45945</v>
      </c>
      <c r="F283" s="3">
        <v>3022</v>
      </c>
      <c r="G283" s="1" t="s">
        <v>18</v>
      </c>
      <c r="H283" s="1" t="s">
        <v>49</v>
      </c>
      <c r="I283" s="2">
        <v>45688</v>
      </c>
      <c r="J283" s="1" t="s">
        <v>20</v>
      </c>
      <c r="K283" s="1" t="s">
        <v>21</v>
      </c>
      <c r="L283" s="1" t="s">
        <v>22</v>
      </c>
      <c r="M283" s="1" t="s">
        <v>32</v>
      </c>
      <c r="N283" s="3">
        <v>70</v>
      </c>
      <c r="O283" s="1" t="s">
        <v>24</v>
      </c>
      <c r="Q283" t="str">
        <v>e03cd364-f195-40bf-8ee3-7bf2e794fd5e</v>
      </c>
    </row>
    <row r="284" spans="1:17" ht="13.8">
      <c r="A284" s="1" t="s">
        <v>328</v>
      </c>
      <c r="B284" s="1" t="s">
        <v>38</v>
      </c>
      <c r="C284" s="1" t="s">
        <v>27</v>
      </c>
      <c r="D284" s="2">
        <v>45845</v>
      </c>
      <c r="E284" s="2">
        <v>45768</v>
      </c>
      <c r="F284" s="3">
        <v>0</v>
      </c>
      <c r="G284" s="1" t="s">
        <v>48</v>
      </c>
      <c r="H284" s="1" t="s">
        <v>49</v>
      </c>
      <c r="I284" s="1"/>
      <c r="J284" s="1" t="s">
        <v>30</v>
      </c>
      <c r="K284" s="1" t="s">
        <v>40</v>
      </c>
      <c r="L284" s="1" t="s">
        <v>44</v>
      </c>
      <c r="M284" s="1" t="s">
        <v>36</v>
      </c>
      <c r="N284" s="3">
        <v>94</v>
      </c>
      <c r="O284" s="1" t="s">
        <v>46</v>
      </c>
      <c r="Q284" t="str">
        <v>04930f16-333e-48e9-85e0-1a976470d8d7</v>
      </c>
    </row>
    <row r="285" spans="1:17" ht="13.8">
      <c r="A285" s="1" t="s">
        <v>329</v>
      </c>
      <c r="B285" s="1" t="s">
        <v>26</v>
      </c>
      <c r="C285" s="1" t="s">
        <v>17</v>
      </c>
      <c r="D285" s="2">
        <v>45884</v>
      </c>
      <c r="E285" s="2">
        <v>45820</v>
      </c>
      <c r="F285" s="3">
        <v>2603</v>
      </c>
      <c r="G285" s="1" t="s">
        <v>48</v>
      </c>
      <c r="H285" s="1" t="s">
        <v>29</v>
      </c>
      <c r="I285" s="2">
        <v>45766</v>
      </c>
      <c r="J285" s="1" t="s">
        <v>30</v>
      </c>
      <c r="K285" s="1" t="s">
        <v>43</v>
      </c>
      <c r="L285" s="1" t="s">
        <v>22</v>
      </c>
      <c r="M285" s="1" t="s">
        <v>32</v>
      </c>
      <c r="N285" s="3">
        <v>86</v>
      </c>
      <c r="O285" s="1" t="s">
        <v>52</v>
      </c>
      <c r="Q285" t="str">
        <v>91b01570-a2d5-4e7a-9b3a-bd65d2802430</v>
      </c>
    </row>
    <row r="286" spans="1:17" ht="13.8">
      <c r="A286" s="1" t="s">
        <v>330</v>
      </c>
      <c r="B286" s="1" t="s">
        <v>51</v>
      </c>
      <c r="C286" s="1" t="s">
        <v>27</v>
      </c>
      <c r="D286" s="2">
        <v>45677</v>
      </c>
      <c r="E286" s="2">
        <v>45774</v>
      </c>
      <c r="F286" s="3">
        <v>0</v>
      </c>
      <c r="G286" s="1" t="s">
        <v>18</v>
      </c>
      <c r="H286" s="1" t="s">
        <v>29</v>
      </c>
      <c r="I286" s="1"/>
      <c r="J286" s="1" t="s">
        <v>20</v>
      </c>
      <c r="K286" s="1" t="s">
        <v>40</v>
      </c>
      <c r="L286" s="1" t="s">
        <v>22</v>
      </c>
      <c r="M286" s="1" t="s">
        <v>23</v>
      </c>
      <c r="N286" s="3">
        <v>89</v>
      </c>
      <c r="O286" s="1" t="s">
        <v>24</v>
      </c>
      <c r="Q286" t="str">
        <v>4b1a2945-80c0-42bf-9824-ab31ceec7d54</v>
      </c>
    </row>
    <row r="287" spans="1:17" ht="13.8">
      <c r="A287" s="1" t="s">
        <v>331</v>
      </c>
      <c r="B287" s="1" t="s">
        <v>38</v>
      </c>
      <c r="C287" s="1" t="s">
        <v>39</v>
      </c>
      <c r="D287" s="2">
        <v>45770</v>
      </c>
      <c r="E287" s="2">
        <v>45770</v>
      </c>
      <c r="F287" s="3">
        <v>0</v>
      </c>
      <c r="G287" s="1" t="s">
        <v>18</v>
      </c>
      <c r="H287" s="1" t="s">
        <v>35</v>
      </c>
      <c r="I287" s="1"/>
      <c r="J287" s="1" t="s">
        <v>30</v>
      </c>
      <c r="K287" s="1" t="s">
        <v>43</v>
      </c>
      <c r="L287" s="1" t="s">
        <v>27</v>
      </c>
      <c r="M287" s="1" t="s">
        <v>45</v>
      </c>
      <c r="N287" s="3">
        <v>88</v>
      </c>
      <c r="O287" s="1" t="s">
        <v>46</v>
      </c>
      <c r="Q287" t="str">
        <v>ae8b039b-481a-4694-be95-452519683a97</v>
      </c>
    </row>
    <row r="288" spans="1:17" ht="13.8">
      <c r="A288" s="1" t="s">
        <v>332</v>
      </c>
      <c r="B288" s="1" t="s">
        <v>26</v>
      </c>
      <c r="C288" s="1" t="s">
        <v>27</v>
      </c>
      <c r="D288" s="2">
        <v>45796</v>
      </c>
      <c r="E288" s="2">
        <v>45724</v>
      </c>
      <c r="F288" s="3">
        <v>0</v>
      </c>
      <c r="G288" s="1" t="s">
        <v>34</v>
      </c>
      <c r="H288" s="1" t="s">
        <v>35</v>
      </c>
      <c r="I288" s="1"/>
      <c r="J288" s="1" t="s">
        <v>30</v>
      </c>
      <c r="K288" s="1" t="s">
        <v>21</v>
      </c>
      <c r="L288" s="1" t="s">
        <v>22</v>
      </c>
      <c r="M288" s="1" t="s">
        <v>23</v>
      </c>
      <c r="N288" s="3">
        <v>74</v>
      </c>
      <c r="O288" s="1" t="s">
        <v>46</v>
      </c>
      <c r="Q288" t="str">
        <v>f02c2877-0a74-4d88-a463-0c3da1d01132</v>
      </c>
    </row>
    <row r="289" spans="1:17" ht="13.8">
      <c r="A289" s="1" t="s">
        <v>333</v>
      </c>
      <c r="B289" s="1" t="s">
        <v>38</v>
      </c>
      <c r="C289" s="1" t="s">
        <v>17</v>
      </c>
      <c r="D289" s="2">
        <v>45731</v>
      </c>
      <c r="E289" s="2">
        <v>45802</v>
      </c>
      <c r="F289" s="3">
        <v>4712</v>
      </c>
      <c r="G289" s="1" t="s">
        <v>48</v>
      </c>
      <c r="H289" s="1" t="s">
        <v>19</v>
      </c>
      <c r="I289" s="2">
        <v>45702</v>
      </c>
      <c r="J289" s="1" t="s">
        <v>20</v>
      </c>
      <c r="K289" s="1" t="s">
        <v>31</v>
      </c>
      <c r="L289" s="1" t="s">
        <v>22</v>
      </c>
      <c r="M289" s="1" t="s">
        <v>32</v>
      </c>
      <c r="N289" s="3">
        <v>85</v>
      </c>
      <c r="O289" s="1" t="s">
        <v>24</v>
      </c>
      <c r="Q289" t="str">
        <v>308411cd-132c-4593-b5ec-164226cc5b15</v>
      </c>
    </row>
    <row r="290" spans="1:17" ht="13.8">
      <c r="A290" s="1" t="s">
        <v>334</v>
      </c>
      <c r="B290" s="1" t="s">
        <v>51</v>
      </c>
      <c r="C290" s="1" t="s">
        <v>27</v>
      </c>
      <c r="D290" s="2">
        <v>45698</v>
      </c>
      <c r="E290" s="2">
        <v>45722</v>
      </c>
      <c r="F290" s="3">
        <v>0</v>
      </c>
      <c r="G290" s="1" t="s">
        <v>28</v>
      </c>
      <c r="H290" s="1" t="s">
        <v>35</v>
      </c>
      <c r="I290" s="1"/>
      <c r="J290" s="1" t="s">
        <v>30</v>
      </c>
      <c r="K290" s="1" t="s">
        <v>21</v>
      </c>
      <c r="L290" s="1" t="s">
        <v>44</v>
      </c>
      <c r="M290" s="1" t="s">
        <v>32</v>
      </c>
      <c r="N290" s="3">
        <v>84</v>
      </c>
      <c r="O290" s="1" t="s">
        <v>52</v>
      </c>
      <c r="Q290" t="str">
        <v>0fa4bd94-1274-47e5-b4c5-ff28c187c482</v>
      </c>
    </row>
    <row r="291" spans="1:17" ht="13.8">
      <c r="A291" s="1" t="s">
        <v>335</v>
      </c>
      <c r="B291" s="1" t="s">
        <v>16</v>
      </c>
      <c r="C291" s="1" t="s">
        <v>17</v>
      </c>
      <c r="D291" s="2">
        <v>45714</v>
      </c>
      <c r="E291" s="2">
        <v>45689</v>
      </c>
      <c r="F291" s="3">
        <v>2407</v>
      </c>
      <c r="G291" s="1" t="s">
        <v>18</v>
      </c>
      <c r="H291" s="1" t="s">
        <v>49</v>
      </c>
      <c r="I291" s="2">
        <v>45811</v>
      </c>
      <c r="J291" s="1" t="s">
        <v>20</v>
      </c>
      <c r="K291" s="1" t="s">
        <v>31</v>
      </c>
      <c r="L291" s="1" t="s">
        <v>41</v>
      </c>
      <c r="M291" s="1" t="s">
        <v>23</v>
      </c>
      <c r="N291" s="3">
        <v>93</v>
      </c>
      <c r="O291" s="1" t="s">
        <v>52</v>
      </c>
      <c r="Q291" t="str">
        <v>f5f455c9-ffd7-463d-a209-9eec40040806</v>
      </c>
    </row>
    <row r="292" spans="1:17" ht="13.8">
      <c r="A292" s="1" t="s">
        <v>336</v>
      </c>
      <c r="B292" s="1" t="s">
        <v>51</v>
      </c>
      <c r="C292" s="1" t="s">
        <v>39</v>
      </c>
      <c r="D292" s="2">
        <v>45859</v>
      </c>
      <c r="E292" s="2">
        <v>45859</v>
      </c>
      <c r="F292" s="3">
        <v>0</v>
      </c>
      <c r="G292" s="1" t="s">
        <v>18</v>
      </c>
      <c r="H292" s="1" t="s">
        <v>49</v>
      </c>
      <c r="I292" s="1"/>
      <c r="J292" s="1" t="s">
        <v>20</v>
      </c>
      <c r="K292" s="1" t="s">
        <v>40</v>
      </c>
      <c r="L292" s="1" t="s">
        <v>41</v>
      </c>
      <c r="M292" s="1" t="s">
        <v>32</v>
      </c>
      <c r="N292" s="3">
        <v>30</v>
      </c>
      <c r="O292" s="1" t="s">
        <v>46</v>
      </c>
      <c r="Q292" t="str">
        <v>aa4de7b3-bb90-4261-8436-5f917895f117</v>
      </c>
    </row>
    <row r="293" spans="1:17" ht="13.8">
      <c r="A293" s="1" t="s">
        <v>337</v>
      </c>
      <c r="B293" s="1" t="s">
        <v>26</v>
      </c>
      <c r="C293" s="1" t="s">
        <v>39</v>
      </c>
      <c r="D293" s="2">
        <v>45823</v>
      </c>
      <c r="E293" s="2">
        <v>45823</v>
      </c>
      <c r="F293" s="3">
        <v>0</v>
      </c>
      <c r="G293" s="1" t="s">
        <v>28</v>
      </c>
      <c r="H293" s="1" t="s">
        <v>49</v>
      </c>
      <c r="I293" s="1"/>
      <c r="J293" s="1" t="s">
        <v>30</v>
      </c>
      <c r="K293" s="1" t="s">
        <v>31</v>
      </c>
      <c r="L293" s="1" t="s">
        <v>44</v>
      </c>
      <c r="M293" s="1" t="s">
        <v>23</v>
      </c>
      <c r="N293" s="3">
        <v>70</v>
      </c>
      <c r="O293" s="1" t="s">
        <v>24</v>
      </c>
      <c r="Q293" t="str">
        <v>fd7ef71c-920f-406c-ba1b-ba18fe009186</v>
      </c>
    </row>
    <row r="294" spans="1:17" ht="13.8">
      <c r="A294" s="1" t="s">
        <v>338</v>
      </c>
      <c r="B294" s="1" t="s">
        <v>51</v>
      </c>
      <c r="C294" s="1" t="s">
        <v>27</v>
      </c>
      <c r="D294" s="2">
        <v>45720</v>
      </c>
      <c r="E294" s="2">
        <v>45700</v>
      </c>
      <c r="F294" s="3">
        <v>0</v>
      </c>
      <c r="G294" s="1" t="s">
        <v>48</v>
      </c>
      <c r="H294" s="1" t="s">
        <v>29</v>
      </c>
      <c r="I294" s="1"/>
      <c r="J294" s="1" t="s">
        <v>30</v>
      </c>
      <c r="K294" s="1" t="s">
        <v>43</v>
      </c>
      <c r="L294" s="1" t="s">
        <v>27</v>
      </c>
      <c r="M294" s="1" t="s">
        <v>32</v>
      </c>
      <c r="N294" s="3">
        <v>57</v>
      </c>
      <c r="O294" s="1" t="s">
        <v>52</v>
      </c>
      <c r="Q294" t="str">
        <v>b32e3574-562e-4ead-89b2-fd00c80084a5</v>
      </c>
    </row>
    <row r="295" spans="1:17" ht="13.8">
      <c r="A295" s="1" t="s">
        <v>339</v>
      </c>
      <c r="B295" s="1" t="s">
        <v>38</v>
      </c>
      <c r="C295" s="1" t="s">
        <v>17</v>
      </c>
      <c r="D295" s="2">
        <v>45684</v>
      </c>
      <c r="E295" s="2">
        <v>45924</v>
      </c>
      <c r="F295" s="3">
        <v>2349</v>
      </c>
      <c r="G295" s="1" t="s">
        <v>18</v>
      </c>
      <c r="H295" s="1" t="s">
        <v>19</v>
      </c>
      <c r="I295" s="2">
        <v>45779</v>
      </c>
      <c r="J295" s="1" t="s">
        <v>20</v>
      </c>
      <c r="K295" s="1" t="s">
        <v>31</v>
      </c>
      <c r="L295" s="1" t="s">
        <v>44</v>
      </c>
      <c r="M295" s="1" t="s">
        <v>32</v>
      </c>
      <c r="N295" s="3">
        <v>64</v>
      </c>
      <c r="O295" s="1" t="s">
        <v>46</v>
      </c>
      <c r="Q295" t="str">
        <v>41e55303-cc2c-4a7e-b6f8-e55071e29ff2</v>
      </c>
    </row>
    <row r="296" spans="1:17" ht="13.8">
      <c r="A296" s="1" t="s">
        <v>340</v>
      </c>
      <c r="B296" s="1" t="s">
        <v>38</v>
      </c>
      <c r="C296" s="1" t="s">
        <v>17</v>
      </c>
      <c r="D296" s="2">
        <v>45701</v>
      </c>
      <c r="E296" s="2">
        <v>45899</v>
      </c>
      <c r="F296" s="3">
        <v>3432</v>
      </c>
      <c r="G296" s="1" t="s">
        <v>34</v>
      </c>
      <c r="H296" s="1" t="s">
        <v>35</v>
      </c>
      <c r="I296" s="2">
        <v>45814</v>
      </c>
      <c r="J296" s="1" t="s">
        <v>20</v>
      </c>
      <c r="K296" s="1" t="s">
        <v>21</v>
      </c>
      <c r="L296" s="1" t="s">
        <v>22</v>
      </c>
      <c r="M296" s="1" t="s">
        <v>36</v>
      </c>
      <c r="N296" s="3">
        <v>67</v>
      </c>
      <c r="O296" s="1" t="s">
        <v>24</v>
      </c>
      <c r="Q296" t="str">
        <v>f9292b3f-e5db-4b48-af74-6a8e2e13fcfb</v>
      </c>
    </row>
    <row r="297" spans="1:17" ht="13.8">
      <c r="A297" s="1" t="s">
        <v>341</v>
      </c>
      <c r="B297" s="1" t="s">
        <v>26</v>
      </c>
      <c r="C297" s="1" t="s">
        <v>39</v>
      </c>
      <c r="D297" s="2">
        <v>45792</v>
      </c>
      <c r="E297" s="2">
        <v>45792</v>
      </c>
      <c r="F297" s="3">
        <v>0</v>
      </c>
      <c r="G297" s="1" t="s">
        <v>34</v>
      </c>
      <c r="H297" s="1" t="s">
        <v>35</v>
      </c>
      <c r="I297" s="1"/>
      <c r="J297" s="1" t="s">
        <v>30</v>
      </c>
      <c r="K297" s="1" t="s">
        <v>43</v>
      </c>
      <c r="L297" s="1" t="s">
        <v>44</v>
      </c>
      <c r="M297" s="1" t="s">
        <v>32</v>
      </c>
      <c r="N297" s="3">
        <v>31</v>
      </c>
      <c r="O297" s="1" t="s">
        <v>46</v>
      </c>
      <c r="Q297" t="str">
        <v>12dfa3a8-e4b2-48e6-9607-2ff063d7d2ed</v>
      </c>
    </row>
    <row r="298" spans="1:17" ht="13.8">
      <c r="A298" s="1" t="s">
        <v>342</v>
      </c>
      <c r="B298" s="1" t="s">
        <v>16</v>
      </c>
      <c r="C298" s="1" t="s">
        <v>17</v>
      </c>
      <c r="D298" s="2">
        <v>45658</v>
      </c>
      <c r="E298" s="2">
        <v>45728</v>
      </c>
      <c r="F298" s="3">
        <v>2162</v>
      </c>
      <c r="G298" s="1" t="s">
        <v>48</v>
      </c>
      <c r="H298" s="1" t="s">
        <v>49</v>
      </c>
      <c r="I298" s="2">
        <v>45779</v>
      </c>
      <c r="J298" s="1" t="s">
        <v>30</v>
      </c>
      <c r="K298" s="1" t="s">
        <v>31</v>
      </c>
      <c r="L298" s="1" t="s">
        <v>22</v>
      </c>
      <c r="M298" s="1" t="s">
        <v>45</v>
      </c>
      <c r="N298" s="3">
        <v>36</v>
      </c>
      <c r="O298" s="1" t="s">
        <v>24</v>
      </c>
      <c r="Q298" t="str">
        <v>d16201b8-49fb-46ac-92b3-4011eaee3c8d</v>
      </c>
    </row>
    <row r="299" spans="1:17" ht="13.8">
      <c r="A299" s="1" t="s">
        <v>343</v>
      </c>
      <c r="B299" s="1" t="s">
        <v>16</v>
      </c>
      <c r="C299" s="1" t="s">
        <v>17</v>
      </c>
      <c r="D299" s="2">
        <v>45815</v>
      </c>
      <c r="E299" s="2">
        <v>45730</v>
      </c>
      <c r="F299" s="3">
        <v>4736</v>
      </c>
      <c r="G299" s="1" t="s">
        <v>48</v>
      </c>
      <c r="H299" s="1" t="s">
        <v>49</v>
      </c>
      <c r="I299" s="2">
        <v>45838</v>
      </c>
      <c r="J299" s="1" t="s">
        <v>20</v>
      </c>
      <c r="K299" s="1" t="s">
        <v>31</v>
      </c>
      <c r="L299" s="1" t="s">
        <v>22</v>
      </c>
      <c r="M299" s="1" t="s">
        <v>45</v>
      </c>
      <c r="N299" s="3">
        <v>38</v>
      </c>
      <c r="O299" s="1" t="s">
        <v>46</v>
      </c>
      <c r="Q299" t="str">
        <v>3e24a4bc-9026-4ad1-9042-c233c050d08f</v>
      </c>
    </row>
    <row r="300" spans="1:17" ht="13.8">
      <c r="A300" s="1" t="s">
        <v>344</v>
      </c>
      <c r="B300" s="1" t="s">
        <v>51</v>
      </c>
      <c r="C300" s="1" t="s">
        <v>39</v>
      </c>
      <c r="D300" s="2">
        <v>45749</v>
      </c>
      <c r="E300" s="2">
        <v>45749</v>
      </c>
      <c r="F300" s="3">
        <v>0</v>
      </c>
      <c r="G300" s="1" t="s">
        <v>48</v>
      </c>
      <c r="H300" s="1" t="s">
        <v>19</v>
      </c>
      <c r="I300" s="1"/>
      <c r="J300" s="1" t="s">
        <v>30</v>
      </c>
      <c r="K300" s="1" t="s">
        <v>21</v>
      </c>
      <c r="L300" s="1" t="s">
        <v>44</v>
      </c>
      <c r="M300" s="1" t="s">
        <v>23</v>
      </c>
      <c r="N300" s="3">
        <v>51</v>
      </c>
      <c r="O300" s="1" t="s">
        <v>46</v>
      </c>
      <c r="Q300" t="str">
        <v>1afc761a-a9f5-419c-9d09-dbe16b33a9ee</v>
      </c>
    </row>
    <row r="301" spans="1:17" ht="13.8">
      <c r="A301" s="1" t="s">
        <v>345</v>
      </c>
      <c r="B301" s="1" t="s">
        <v>26</v>
      </c>
      <c r="C301" s="1" t="s">
        <v>17</v>
      </c>
      <c r="D301" s="2">
        <v>45818</v>
      </c>
      <c r="E301" s="2">
        <v>45688</v>
      </c>
      <c r="F301" s="3">
        <v>4068</v>
      </c>
      <c r="G301" s="1" t="s">
        <v>34</v>
      </c>
      <c r="H301" s="1" t="s">
        <v>29</v>
      </c>
      <c r="I301" s="2">
        <v>45683</v>
      </c>
      <c r="J301" s="1" t="s">
        <v>30</v>
      </c>
      <c r="K301" s="1" t="s">
        <v>40</v>
      </c>
      <c r="L301" s="1" t="s">
        <v>27</v>
      </c>
      <c r="M301" s="1" t="s">
        <v>23</v>
      </c>
      <c r="N301" s="3">
        <v>58</v>
      </c>
      <c r="O301" s="1" t="s">
        <v>24</v>
      </c>
      <c r="Q301" t="str">
        <v>dfb6f107-3643-42a7-89cd-5832708b653e</v>
      </c>
    </row>
    <row r="302" spans="1:17" ht="13.8">
      <c r="A302" s="1" t="s">
        <v>346</v>
      </c>
      <c r="B302" s="1" t="s">
        <v>16</v>
      </c>
      <c r="C302" s="1" t="s">
        <v>17</v>
      </c>
      <c r="D302" s="2">
        <v>45661</v>
      </c>
      <c r="E302" s="2">
        <v>45781</v>
      </c>
      <c r="F302" s="3">
        <v>4504</v>
      </c>
      <c r="G302" s="1" t="s">
        <v>28</v>
      </c>
      <c r="H302" s="1" t="s">
        <v>49</v>
      </c>
      <c r="I302" s="2">
        <v>45851</v>
      </c>
      <c r="J302" s="1" t="s">
        <v>20</v>
      </c>
      <c r="K302" s="1" t="s">
        <v>31</v>
      </c>
      <c r="L302" s="1" t="s">
        <v>27</v>
      </c>
      <c r="M302" s="1" t="s">
        <v>36</v>
      </c>
      <c r="N302" s="3">
        <v>42</v>
      </c>
      <c r="O302" s="1" t="s">
        <v>24</v>
      </c>
      <c r="Q302" t="str">
        <v>6601f335-c0ce-4e47-a4a3-b265bae217ba</v>
      </c>
    </row>
    <row r="303" spans="1:17" ht="13.8">
      <c r="A303" s="1" t="s">
        <v>347</v>
      </c>
      <c r="B303" s="1" t="s">
        <v>51</v>
      </c>
      <c r="C303" s="1" t="s">
        <v>27</v>
      </c>
      <c r="D303" s="2">
        <v>45803</v>
      </c>
      <c r="E303" s="2">
        <v>45804</v>
      </c>
      <c r="F303" s="3">
        <v>0</v>
      </c>
      <c r="G303" s="1" t="s">
        <v>28</v>
      </c>
      <c r="H303" s="1" t="s">
        <v>35</v>
      </c>
      <c r="I303" s="1"/>
      <c r="J303" s="1" t="s">
        <v>30</v>
      </c>
      <c r="K303" s="1" t="s">
        <v>43</v>
      </c>
      <c r="L303" s="1" t="s">
        <v>44</v>
      </c>
      <c r="M303" s="1" t="s">
        <v>32</v>
      </c>
      <c r="N303" s="3">
        <v>67</v>
      </c>
      <c r="O303" s="1" t="s">
        <v>24</v>
      </c>
      <c r="Q303" t="str">
        <v>f87ced4f-6dea-4f7c-871a-88345e66e029</v>
      </c>
    </row>
    <row r="304" spans="1:17" ht="13.8">
      <c r="A304" s="1" t="s">
        <v>348</v>
      </c>
      <c r="B304" s="1" t="s">
        <v>51</v>
      </c>
      <c r="C304" s="1" t="s">
        <v>27</v>
      </c>
      <c r="D304" s="2">
        <v>45832</v>
      </c>
      <c r="E304" s="2">
        <v>45687</v>
      </c>
      <c r="F304" s="3">
        <v>0</v>
      </c>
      <c r="G304" s="1" t="s">
        <v>28</v>
      </c>
      <c r="H304" s="1" t="s">
        <v>49</v>
      </c>
      <c r="I304" s="1"/>
      <c r="J304" s="1" t="s">
        <v>30</v>
      </c>
      <c r="K304" s="1" t="s">
        <v>31</v>
      </c>
      <c r="L304" s="1" t="s">
        <v>27</v>
      </c>
      <c r="M304" s="1" t="s">
        <v>23</v>
      </c>
      <c r="N304" s="3">
        <v>66</v>
      </c>
      <c r="O304" s="1" t="s">
        <v>52</v>
      </c>
      <c r="Q304" t="str">
        <v>655bd6ae-5673-45f9-b00e-78be1bdf3d94</v>
      </c>
    </row>
    <row r="305" spans="1:17" ht="13.8">
      <c r="A305" s="1" t="s">
        <v>349</v>
      </c>
      <c r="B305" s="1" t="s">
        <v>16</v>
      </c>
      <c r="C305" s="1" t="s">
        <v>17</v>
      </c>
      <c r="D305" s="2">
        <v>45905</v>
      </c>
      <c r="E305" s="2">
        <v>45875</v>
      </c>
      <c r="F305" s="3">
        <v>3832</v>
      </c>
      <c r="G305" s="1" t="s">
        <v>28</v>
      </c>
      <c r="H305" s="1" t="s">
        <v>35</v>
      </c>
      <c r="I305" s="2">
        <v>45690</v>
      </c>
      <c r="J305" s="1" t="s">
        <v>30</v>
      </c>
      <c r="K305" s="1" t="s">
        <v>31</v>
      </c>
      <c r="L305" s="1" t="s">
        <v>41</v>
      </c>
      <c r="M305" s="1" t="s">
        <v>36</v>
      </c>
      <c r="N305" s="3">
        <v>45</v>
      </c>
      <c r="O305" s="1" t="s">
        <v>24</v>
      </c>
      <c r="Q305" t="str">
        <v>dfbdca43-d5d0-42bd-97bf-c876521427f3</v>
      </c>
    </row>
    <row r="306" spans="1:17" ht="13.8">
      <c r="A306" s="1" t="s">
        <v>350</v>
      </c>
      <c r="B306" s="1" t="s">
        <v>38</v>
      </c>
      <c r="C306" s="1" t="s">
        <v>39</v>
      </c>
      <c r="D306" s="2">
        <v>45742</v>
      </c>
      <c r="E306" s="2">
        <v>45742</v>
      </c>
      <c r="F306" s="3">
        <v>0</v>
      </c>
      <c r="G306" s="1" t="s">
        <v>28</v>
      </c>
      <c r="H306" s="1" t="s">
        <v>29</v>
      </c>
      <c r="I306" s="1"/>
      <c r="J306" s="1" t="s">
        <v>20</v>
      </c>
      <c r="K306" s="1" t="s">
        <v>43</v>
      </c>
      <c r="L306" s="1" t="s">
        <v>44</v>
      </c>
      <c r="M306" s="1" t="s">
        <v>23</v>
      </c>
      <c r="N306" s="3">
        <v>73</v>
      </c>
      <c r="O306" s="1" t="s">
        <v>24</v>
      </c>
      <c r="Q306" t="str">
        <v>98a8f3fb-a8ac-432b-9e07-694f0799d8fc</v>
      </c>
    </row>
    <row r="307" spans="1:17" ht="13.8">
      <c r="A307" s="1" t="s">
        <v>351</v>
      </c>
      <c r="B307" s="1" t="s">
        <v>51</v>
      </c>
      <c r="C307" s="1" t="s">
        <v>17</v>
      </c>
      <c r="D307" s="2">
        <v>45794</v>
      </c>
      <c r="E307" s="2">
        <v>45812</v>
      </c>
      <c r="F307" s="3">
        <v>2236</v>
      </c>
      <c r="G307" s="1" t="s">
        <v>34</v>
      </c>
      <c r="H307" s="1" t="s">
        <v>35</v>
      </c>
      <c r="I307" s="2">
        <v>45746</v>
      </c>
      <c r="J307" s="1" t="s">
        <v>20</v>
      </c>
      <c r="K307" s="1" t="s">
        <v>31</v>
      </c>
      <c r="L307" s="1" t="s">
        <v>41</v>
      </c>
      <c r="M307" s="1" t="s">
        <v>32</v>
      </c>
      <c r="N307" s="3">
        <v>49</v>
      </c>
      <c r="O307" s="1" t="s">
        <v>46</v>
      </c>
      <c r="Q307" t="str">
        <v>ecdee356-1775-417b-929e-7d245fe82ea1</v>
      </c>
    </row>
    <row r="308" spans="1:17" ht="13.8">
      <c r="A308" s="1" t="s">
        <v>352</v>
      </c>
      <c r="B308" s="1" t="s">
        <v>16</v>
      </c>
      <c r="C308" s="1" t="s">
        <v>17</v>
      </c>
      <c r="D308" s="2">
        <v>45927</v>
      </c>
      <c r="E308" s="2">
        <v>45700</v>
      </c>
      <c r="F308" s="3">
        <v>2110</v>
      </c>
      <c r="G308" s="1" t="s">
        <v>28</v>
      </c>
      <c r="H308" s="1" t="s">
        <v>19</v>
      </c>
      <c r="I308" s="2">
        <v>45854</v>
      </c>
      <c r="J308" s="1" t="s">
        <v>20</v>
      </c>
      <c r="K308" s="1" t="s">
        <v>40</v>
      </c>
      <c r="L308" s="1" t="s">
        <v>22</v>
      </c>
      <c r="M308" s="1" t="s">
        <v>36</v>
      </c>
      <c r="N308" s="3">
        <v>56</v>
      </c>
      <c r="O308" s="1" t="s">
        <v>52</v>
      </c>
      <c r="Q308" t="str">
        <v>eb2824e2-397d-4831-90e3-cd32046fc384</v>
      </c>
    </row>
    <row r="309" spans="1:17" ht="13.8">
      <c r="A309" s="1" t="s">
        <v>353</v>
      </c>
      <c r="B309" s="1" t="s">
        <v>16</v>
      </c>
      <c r="C309" s="1" t="s">
        <v>39</v>
      </c>
      <c r="D309" s="2">
        <v>45745</v>
      </c>
      <c r="E309" s="2">
        <v>45745</v>
      </c>
      <c r="F309" s="3">
        <v>0</v>
      </c>
      <c r="G309" s="1" t="s">
        <v>48</v>
      </c>
      <c r="H309" s="1" t="s">
        <v>29</v>
      </c>
      <c r="I309" s="1"/>
      <c r="J309" s="1" t="s">
        <v>30</v>
      </c>
      <c r="K309" s="1" t="s">
        <v>43</v>
      </c>
      <c r="L309" s="1" t="s">
        <v>27</v>
      </c>
      <c r="M309" s="1" t="s">
        <v>32</v>
      </c>
      <c r="N309" s="3">
        <v>49</v>
      </c>
      <c r="O309" s="1" t="s">
        <v>24</v>
      </c>
      <c r="Q309" t="str">
        <v>488a885a-c67c-437a-ac29-0690ea589dde</v>
      </c>
    </row>
    <row r="310" spans="1:17" ht="13.8">
      <c r="A310" s="1" t="s">
        <v>354</v>
      </c>
      <c r="B310" s="1" t="s">
        <v>16</v>
      </c>
      <c r="C310" s="1" t="s">
        <v>39</v>
      </c>
      <c r="D310" s="2">
        <v>45662</v>
      </c>
      <c r="E310" s="2">
        <v>45662</v>
      </c>
      <c r="F310" s="3">
        <v>0</v>
      </c>
      <c r="G310" s="1" t="s">
        <v>28</v>
      </c>
      <c r="H310" s="1" t="s">
        <v>49</v>
      </c>
      <c r="I310" s="1"/>
      <c r="J310" s="1" t="s">
        <v>30</v>
      </c>
      <c r="K310" s="1" t="s">
        <v>31</v>
      </c>
      <c r="L310" s="1" t="s">
        <v>41</v>
      </c>
      <c r="M310" s="1" t="s">
        <v>23</v>
      </c>
      <c r="N310" s="3">
        <v>87</v>
      </c>
      <c r="O310" s="1" t="s">
        <v>46</v>
      </c>
      <c r="Q310" t="str">
        <v>ff9b6aa6-9bbe-42be-9db8-b000e2d00da0</v>
      </c>
    </row>
    <row r="311" spans="1:17" ht="13.8">
      <c r="A311" s="1" t="s">
        <v>355</v>
      </c>
      <c r="B311" s="1" t="s">
        <v>51</v>
      </c>
      <c r="C311" s="1" t="s">
        <v>17</v>
      </c>
      <c r="D311" s="2">
        <v>45695</v>
      </c>
      <c r="E311" s="2">
        <v>45724</v>
      </c>
      <c r="F311" s="3">
        <v>4689</v>
      </c>
      <c r="G311" s="1" t="s">
        <v>28</v>
      </c>
      <c r="H311" s="1" t="s">
        <v>29</v>
      </c>
      <c r="I311" s="2">
        <v>45662</v>
      </c>
      <c r="J311" s="1" t="s">
        <v>30</v>
      </c>
      <c r="K311" s="1" t="s">
        <v>21</v>
      </c>
      <c r="L311" s="1" t="s">
        <v>41</v>
      </c>
      <c r="M311" s="1" t="s">
        <v>32</v>
      </c>
      <c r="N311" s="3">
        <v>60</v>
      </c>
      <c r="O311" s="1" t="s">
        <v>46</v>
      </c>
      <c r="Q311" t="str">
        <v>459e556c-3948-4ebf-83a1-ff5d2f015fe9</v>
      </c>
    </row>
    <row r="312" spans="1:17" ht="13.8">
      <c r="A312" s="1" t="s">
        <v>356</v>
      </c>
      <c r="B312" s="1" t="s">
        <v>38</v>
      </c>
      <c r="C312" s="1" t="s">
        <v>27</v>
      </c>
      <c r="D312" s="2">
        <v>45929</v>
      </c>
      <c r="E312" s="2">
        <v>45819</v>
      </c>
      <c r="F312" s="3">
        <v>0</v>
      </c>
      <c r="G312" s="1" t="s">
        <v>48</v>
      </c>
      <c r="H312" s="1" t="s">
        <v>35</v>
      </c>
      <c r="I312" s="1"/>
      <c r="J312" s="1" t="s">
        <v>20</v>
      </c>
      <c r="K312" s="1" t="s">
        <v>43</v>
      </c>
      <c r="L312" s="1" t="s">
        <v>22</v>
      </c>
      <c r="M312" s="1" t="s">
        <v>23</v>
      </c>
      <c r="N312" s="3">
        <v>46</v>
      </c>
      <c r="O312" s="1" t="s">
        <v>46</v>
      </c>
      <c r="Q312" t="str">
        <v>89b3d365-dcda-4dab-9aa8-f6dcf0ab86e1</v>
      </c>
    </row>
    <row r="313" spans="1:17" ht="13.8">
      <c r="A313" s="1" t="s">
        <v>357</v>
      </c>
      <c r="B313" s="1" t="s">
        <v>26</v>
      </c>
      <c r="C313" s="1" t="s">
        <v>39</v>
      </c>
      <c r="D313" s="2">
        <v>45676</v>
      </c>
      <c r="E313" s="2">
        <v>45676</v>
      </c>
      <c r="F313" s="3">
        <v>0</v>
      </c>
      <c r="G313" s="1" t="s">
        <v>34</v>
      </c>
      <c r="H313" s="1" t="s">
        <v>19</v>
      </c>
      <c r="I313" s="1"/>
      <c r="J313" s="1" t="s">
        <v>30</v>
      </c>
      <c r="K313" s="1" t="s">
        <v>21</v>
      </c>
      <c r="L313" s="1" t="s">
        <v>22</v>
      </c>
      <c r="M313" s="1" t="s">
        <v>23</v>
      </c>
      <c r="N313" s="3">
        <v>84</v>
      </c>
      <c r="O313" s="1" t="s">
        <v>46</v>
      </c>
      <c r="Q313" t="str">
        <v>0d580aed-d820-43ed-89c2-9baff6a2b66d</v>
      </c>
    </row>
    <row r="314" spans="1:17" ht="13.8">
      <c r="A314" s="1" t="s">
        <v>358</v>
      </c>
      <c r="B314" s="1" t="s">
        <v>26</v>
      </c>
      <c r="C314" s="1" t="s">
        <v>39</v>
      </c>
      <c r="D314" s="2">
        <v>45733</v>
      </c>
      <c r="E314" s="2">
        <v>45733</v>
      </c>
      <c r="F314" s="3">
        <v>0</v>
      </c>
      <c r="G314" s="1" t="s">
        <v>28</v>
      </c>
      <c r="H314" s="1" t="s">
        <v>49</v>
      </c>
      <c r="I314" s="1"/>
      <c r="J314" s="1" t="s">
        <v>30</v>
      </c>
      <c r="K314" s="1" t="s">
        <v>31</v>
      </c>
      <c r="L314" s="1" t="s">
        <v>27</v>
      </c>
      <c r="M314" s="1" t="s">
        <v>32</v>
      </c>
      <c r="N314" s="3">
        <v>62</v>
      </c>
      <c r="O314" s="1" t="s">
        <v>24</v>
      </c>
      <c r="Q314" t="str">
        <v>5e6c4f52-c64f-44f7-b631-3056bdddf94e</v>
      </c>
    </row>
    <row r="315" spans="1:17" ht="13.8">
      <c r="A315" s="1" t="s">
        <v>359</v>
      </c>
      <c r="B315" s="1" t="s">
        <v>26</v>
      </c>
      <c r="C315" s="1" t="s">
        <v>17</v>
      </c>
      <c r="D315" s="2">
        <v>45878</v>
      </c>
      <c r="E315" s="2">
        <v>45819</v>
      </c>
      <c r="F315" s="3">
        <v>4845</v>
      </c>
      <c r="G315" s="1" t="s">
        <v>34</v>
      </c>
      <c r="H315" s="1" t="s">
        <v>49</v>
      </c>
      <c r="I315" s="2">
        <v>45787</v>
      </c>
      <c r="J315" s="1" t="s">
        <v>30</v>
      </c>
      <c r="K315" s="1" t="s">
        <v>21</v>
      </c>
      <c r="L315" s="1" t="s">
        <v>41</v>
      </c>
      <c r="M315" s="1" t="s">
        <v>45</v>
      </c>
      <c r="N315" s="3">
        <v>31</v>
      </c>
      <c r="O315" s="1" t="s">
        <v>24</v>
      </c>
      <c r="Q315" t="str">
        <v>1ae2aa31-c9e8-465e-b11e-d96b92b73d6d</v>
      </c>
    </row>
    <row r="316" spans="1:17" ht="13.8">
      <c r="A316" s="1" t="s">
        <v>360</v>
      </c>
      <c r="B316" s="1" t="s">
        <v>16</v>
      </c>
      <c r="C316" s="1" t="s">
        <v>27</v>
      </c>
      <c r="D316" s="2">
        <v>45791</v>
      </c>
      <c r="E316" s="2">
        <v>45873</v>
      </c>
      <c r="F316" s="3">
        <v>0</v>
      </c>
      <c r="G316" s="1" t="s">
        <v>34</v>
      </c>
      <c r="H316" s="1" t="s">
        <v>29</v>
      </c>
      <c r="I316" s="1"/>
      <c r="J316" s="1" t="s">
        <v>30</v>
      </c>
      <c r="K316" s="1" t="s">
        <v>31</v>
      </c>
      <c r="L316" s="1" t="s">
        <v>41</v>
      </c>
      <c r="M316" s="1" t="s">
        <v>45</v>
      </c>
      <c r="N316" s="3">
        <v>43</v>
      </c>
      <c r="O316" s="1" t="s">
        <v>24</v>
      </c>
      <c r="Q316" t="str">
        <v>69f13d34-7efd-4893-9aa5-b65a00679d26</v>
      </c>
    </row>
    <row r="317" spans="1:17" ht="13.8">
      <c r="A317" s="1" t="s">
        <v>361</v>
      </c>
      <c r="B317" s="1" t="s">
        <v>26</v>
      </c>
      <c r="C317" s="1" t="s">
        <v>17</v>
      </c>
      <c r="D317" s="2">
        <v>45737</v>
      </c>
      <c r="E317" s="2">
        <v>45821</v>
      </c>
      <c r="F317" s="3">
        <v>2949</v>
      </c>
      <c r="G317" s="1" t="s">
        <v>34</v>
      </c>
      <c r="H317" s="1" t="s">
        <v>19</v>
      </c>
      <c r="I317" s="2">
        <v>45921</v>
      </c>
      <c r="J317" s="1" t="s">
        <v>20</v>
      </c>
      <c r="K317" s="1" t="s">
        <v>21</v>
      </c>
      <c r="L317" s="1" t="s">
        <v>27</v>
      </c>
      <c r="M317" s="1" t="s">
        <v>36</v>
      </c>
      <c r="N317" s="3">
        <v>78</v>
      </c>
      <c r="O317" s="1" t="s">
        <v>46</v>
      </c>
      <c r="Q317" t="str">
        <v>81afe7b8-8b78-4cdc-96fe-0c9ef63f7ace</v>
      </c>
    </row>
    <row r="318" spans="1:17" ht="13.8">
      <c r="A318" s="1" t="s">
        <v>362</v>
      </c>
      <c r="B318" s="1" t="s">
        <v>16</v>
      </c>
      <c r="C318" s="1" t="s">
        <v>27</v>
      </c>
      <c r="D318" s="2">
        <v>45871</v>
      </c>
      <c r="E318" s="2">
        <v>45689</v>
      </c>
      <c r="F318" s="3">
        <v>0</v>
      </c>
      <c r="G318" s="1" t="s">
        <v>48</v>
      </c>
      <c r="H318" s="1" t="s">
        <v>35</v>
      </c>
      <c r="I318" s="1"/>
      <c r="J318" s="1" t="s">
        <v>30</v>
      </c>
      <c r="K318" s="1" t="s">
        <v>43</v>
      </c>
      <c r="L318" s="1" t="s">
        <v>41</v>
      </c>
      <c r="M318" s="1" t="s">
        <v>45</v>
      </c>
      <c r="N318" s="3">
        <v>55</v>
      </c>
      <c r="O318" s="1" t="s">
        <v>24</v>
      </c>
      <c r="Q318" t="str">
        <v>d0dba772-4e17-4699-b868-9fa06c1f4388</v>
      </c>
    </row>
    <row r="319" spans="1:17" ht="13.8">
      <c r="A319" s="1" t="s">
        <v>363</v>
      </c>
      <c r="B319" s="1" t="s">
        <v>51</v>
      </c>
      <c r="C319" s="1" t="s">
        <v>17</v>
      </c>
      <c r="D319" s="2">
        <v>45764</v>
      </c>
      <c r="E319" s="2">
        <v>45778</v>
      </c>
      <c r="F319" s="3">
        <v>3184</v>
      </c>
      <c r="G319" s="1" t="s">
        <v>34</v>
      </c>
      <c r="H319" s="1" t="s">
        <v>29</v>
      </c>
      <c r="I319" s="2">
        <v>45683</v>
      </c>
      <c r="J319" s="1" t="s">
        <v>30</v>
      </c>
      <c r="K319" s="1" t="s">
        <v>21</v>
      </c>
      <c r="L319" s="1" t="s">
        <v>41</v>
      </c>
      <c r="M319" s="1" t="s">
        <v>23</v>
      </c>
      <c r="N319" s="3">
        <v>42</v>
      </c>
      <c r="O319" s="1" t="s">
        <v>24</v>
      </c>
      <c r="Q319" t="str">
        <v>04003149-35e4-4cf8-b3ee-af5edb6f1495</v>
      </c>
    </row>
    <row r="320" spans="1:17" ht="13.8">
      <c r="A320" s="1" t="s">
        <v>364</v>
      </c>
      <c r="B320" s="1" t="s">
        <v>16</v>
      </c>
      <c r="C320" s="1" t="s">
        <v>27</v>
      </c>
      <c r="D320" s="2">
        <v>45863</v>
      </c>
      <c r="E320" s="2">
        <v>45728</v>
      </c>
      <c r="F320" s="3">
        <v>0</v>
      </c>
      <c r="G320" s="1" t="s">
        <v>28</v>
      </c>
      <c r="H320" s="1" t="s">
        <v>49</v>
      </c>
      <c r="I320" s="1"/>
      <c r="J320" s="1" t="s">
        <v>30</v>
      </c>
      <c r="K320" s="1" t="s">
        <v>40</v>
      </c>
      <c r="L320" s="1" t="s">
        <v>22</v>
      </c>
      <c r="M320" s="1" t="s">
        <v>45</v>
      </c>
      <c r="N320" s="3">
        <v>88</v>
      </c>
      <c r="O320" s="1" t="s">
        <v>52</v>
      </c>
      <c r="Q320" t="str">
        <v>9d716d82-3d4a-4efc-af67-951516bef323</v>
      </c>
    </row>
    <row r="321" spans="1:17" ht="13.8">
      <c r="A321" s="1" t="s">
        <v>365</v>
      </c>
      <c r="B321" s="1" t="s">
        <v>38</v>
      </c>
      <c r="C321" s="1" t="s">
        <v>27</v>
      </c>
      <c r="D321" s="2">
        <v>45886</v>
      </c>
      <c r="E321" s="2">
        <v>45714</v>
      </c>
      <c r="F321" s="3">
        <v>0</v>
      </c>
      <c r="G321" s="1" t="s">
        <v>48</v>
      </c>
      <c r="H321" s="1" t="s">
        <v>29</v>
      </c>
      <c r="I321" s="1"/>
      <c r="J321" s="1" t="s">
        <v>20</v>
      </c>
      <c r="K321" s="1" t="s">
        <v>43</v>
      </c>
      <c r="L321" s="1" t="s">
        <v>22</v>
      </c>
      <c r="M321" s="1" t="s">
        <v>32</v>
      </c>
      <c r="N321" s="3">
        <v>44</v>
      </c>
      <c r="O321" s="1" t="s">
        <v>24</v>
      </c>
      <c r="Q321" t="str">
        <v>1181a619-5d5f-4b8d-ac0f-9ac0e584643f</v>
      </c>
    </row>
    <row r="322" spans="1:17" ht="13.8">
      <c r="A322" s="1" t="s">
        <v>366</v>
      </c>
      <c r="B322" s="1" t="s">
        <v>51</v>
      </c>
      <c r="C322" s="1" t="s">
        <v>17</v>
      </c>
      <c r="D322" s="2">
        <v>45804</v>
      </c>
      <c r="E322" s="2">
        <v>45833</v>
      </c>
      <c r="F322" s="3">
        <v>3166</v>
      </c>
      <c r="G322" s="1" t="s">
        <v>48</v>
      </c>
      <c r="H322" s="1" t="s">
        <v>35</v>
      </c>
      <c r="I322" s="2">
        <v>45779</v>
      </c>
      <c r="J322" s="1" t="s">
        <v>20</v>
      </c>
      <c r="K322" s="1" t="s">
        <v>40</v>
      </c>
      <c r="L322" s="1" t="s">
        <v>22</v>
      </c>
      <c r="M322" s="1" t="s">
        <v>32</v>
      </c>
      <c r="N322" s="3">
        <v>69</v>
      </c>
      <c r="O322" s="1" t="s">
        <v>52</v>
      </c>
      <c r="Q322" t="str">
        <v>d18f40e6-1ef9-4550-826e-f76c6c07154c</v>
      </c>
    </row>
    <row r="323" spans="1:17" ht="13.8">
      <c r="A323" s="1" t="s">
        <v>367</v>
      </c>
      <c r="B323" s="1" t="s">
        <v>51</v>
      </c>
      <c r="C323" s="1" t="s">
        <v>39</v>
      </c>
      <c r="D323" s="2">
        <v>45934</v>
      </c>
      <c r="E323" s="2">
        <v>45934</v>
      </c>
      <c r="F323" s="3">
        <v>0</v>
      </c>
      <c r="G323" s="1" t="s">
        <v>34</v>
      </c>
      <c r="H323" s="1" t="s">
        <v>49</v>
      </c>
      <c r="I323" s="1"/>
      <c r="J323" s="1" t="s">
        <v>30</v>
      </c>
      <c r="K323" s="1" t="s">
        <v>43</v>
      </c>
      <c r="L323" s="1" t="s">
        <v>27</v>
      </c>
      <c r="M323" s="1" t="s">
        <v>36</v>
      </c>
      <c r="N323" s="3">
        <v>88</v>
      </c>
      <c r="O323" s="1" t="s">
        <v>24</v>
      </c>
      <c r="Q323" t="str">
        <v>31699b2a-0891-44ca-a176-09609967e56f</v>
      </c>
    </row>
    <row r="324" spans="1:17" ht="13.8">
      <c r="A324" s="1" t="s">
        <v>368</v>
      </c>
      <c r="B324" s="1" t="s">
        <v>51</v>
      </c>
      <c r="C324" s="1" t="s">
        <v>17</v>
      </c>
      <c r="D324" s="2">
        <v>45895</v>
      </c>
      <c r="E324" s="2">
        <v>45796</v>
      </c>
      <c r="F324" s="3">
        <v>4544</v>
      </c>
      <c r="G324" s="1" t="s">
        <v>48</v>
      </c>
      <c r="H324" s="1" t="s">
        <v>29</v>
      </c>
      <c r="I324" s="2">
        <v>45819</v>
      </c>
      <c r="J324" s="1" t="s">
        <v>20</v>
      </c>
      <c r="K324" s="1" t="s">
        <v>31</v>
      </c>
      <c r="L324" s="1" t="s">
        <v>44</v>
      </c>
      <c r="M324" s="1" t="s">
        <v>23</v>
      </c>
      <c r="N324" s="3">
        <v>41</v>
      </c>
      <c r="O324" s="1" t="s">
        <v>52</v>
      </c>
      <c r="Q324" t="str">
        <v>67a9fb9e-80cc-4db4-a0e3-98b1bf8dd7a8</v>
      </c>
    </row>
    <row r="325" spans="1:17" ht="13.8">
      <c r="A325" s="1" t="s">
        <v>369</v>
      </c>
      <c r="B325" s="1" t="s">
        <v>51</v>
      </c>
      <c r="C325" s="1" t="s">
        <v>17</v>
      </c>
      <c r="D325" s="2">
        <v>45842</v>
      </c>
      <c r="E325" s="2">
        <v>45935</v>
      </c>
      <c r="F325" s="3">
        <v>3281</v>
      </c>
      <c r="G325" s="1" t="s">
        <v>34</v>
      </c>
      <c r="H325" s="1" t="s">
        <v>29</v>
      </c>
      <c r="I325" s="2">
        <v>45927</v>
      </c>
      <c r="J325" s="1" t="s">
        <v>20</v>
      </c>
      <c r="K325" s="1" t="s">
        <v>31</v>
      </c>
      <c r="L325" s="1" t="s">
        <v>22</v>
      </c>
      <c r="M325" s="1" t="s">
        <v>23</v>
      </c>
      <c r="N325" s="3">
        <v>69</v>
      </c>
      <c r="O325" s="1" t="s">
        <v>52</v>
      </c>
      <c r="Q325" t="str">
        <v>8cc28bc7-938e-48b1-83fd-f86d9f7ea4e4</v>
      </c>
    </row>
    <row r="326" spans="1:17" ht="13.8">
      <c r="A326" s="1" t="s">
        <v>370</v>
      </c>
      <c r="B326" s="1" t="s">
        <v>16</v>
      </c>
      <c r="C326" s="1" t="s">
        <v>27</v>
      </c>
      <c r="D326" s="2">
        <v>45695</v>
      </c>
      <c r="E326" s="2">
        <v>45753</v>
      </c>
      <c r="F326" s="3">
        <v>0</v>
      </c>
      <c r="G326" s="1" t="s">
        <v>18</v>
      </c>
      <c r="H326" s="1" t="s">
        <v>19</v>
      </c>
      <c r="I326" s="1"/>
      <c r="J326" s="1" t="s">
        <v>20</v>
      </c>
      <c r="K326" s="1" t="s">
        <v>43</v>
      </c>
      <c r="L326" s="1" t="s">
        <v>22</v>
      </c>
      <c r="M326" s="1" t="s">
        <v>32</v>
      </c>
      <c r="N326" s="3">
        <v>36</v>
      </c>
      <c r="O326" s="1" t="s">
        <v>52</v>
      </c>
      <c r="Q326" t="str">
        <v>b65f525d-cb3b-4448-b391-1077f18ca8ef</v>
      </c>
    </row>
    <row r="327" spans="1:17" ht="13.8">
      <c r="A327" s="1" t="s">
        <v>371</v>
      </c>
      <c r="B327" s="1" t="s">
        <v>38</v>
      </c>
      <c r="C327" s="1" t="s">
        <v>17</v>
      </c>
      <c r="D327" s="2">
        <v>45839</v>
      </c>
      <c r="E327" s="2">
        <v>45767</v>
      </c>
      <c r="F327" s="3">
        <v>2057</v>
      </c>
      <c r="G327" s="1" t="s">
        <v>48</v>
      </c>
      <c r="H327" s="1" t="s">
        <v>49</v>
      </c>
      <c r="I327" s="2">
        <v>45830</v>
      </c>
      <c r="J327" s="1" t="s">
        <v>30</v>
      </c>
      <c r="K327" s="1" t="s">
        <v>40</v>
      </c>
      <c r="L327" s="1" t="s">
        <v>22</v>
      </c>
      <c r="M327" s="1" t="s">
        <v>32</v>
      </c>
      <c r="N327" s="3">
        <v>73</v>
      </c>
      <c r="O327" s="1" t="s">
        <v>52</v>
      </c>
      <c r="Q327" t="str">
        <v>b89018d3-291d-4013-8f6b-5901b49b0242</v>
      </c>
    </row>
    <row r="328" spans="1:17" ht="13.8">
      <c r="A328" s="1" t="s">
        <v>372</v>
      </c>
      <c r="B328" s="1" t="s">
        <v>26</v>
      </c>
      <c r="C328" s="1" t="s">
        <v>17</v>
      </c>
      <c r="D328" s="2">
        <v>45756</v>
      </c>
      <c r="E328" s="2">
        <v>45664</v>
      </c>
      <c r="F328" s="3">
        <v>4624</v>
      </c>
      <c r="G328" s="1" t="s">
        <v>18</v>
      </c>
      <c r="H328" s="1" t="s">
        <v>29</v>
      </c>
      <c r="I328" s="2">
        <v>45928</v>
      </c>
      <c r="J328" s="1" t="s">
        <v>30</v>
      </c>
      <c r="K328" s="1" t="s">
        <v>40</v>
      </c>
      <c r="L328" s="1" t="s">
        <v>44</v>
      </c>
      <c r="M328" s="1" t="s">
        <v>23</v>
      </c>
      <c r="N328" s="3">
        <v>64</v>
      </c>
      <c r="O328" s="1" t="s">
        <v>46</v>
      </c>
      <c r="Q328" t="str">
        <v>6ac134d6-9ca7-4002-81e6-7a2940d2d25f</v>
      </c>
    </row>
    <row r="329" spans="1:17" ht="13.8">
      <c r="A329" s="1" t="s">
        <v>373</v>
      </c>
      <c r="B329" s="1" t="s">
        <v>26</v>
      </c>
      <c r="C329" s="1" t="s">
        <v>17</v>
      </c>
      <c r="D329" s="2">
        <v>45843</v>
      </c>
      <c r="E329" s="2">
        <v>45853</v>
      </c>
      <c r="F329" s="3">
        <v>2978</v>
      </c>
      <c r="G329" s="1" t="s">
        <v>34</v>
      </c>
      <c r="H329" s="1" t="s">
        <v>29</v>
      </c>
      <c r="I329" s="2">
        <v>45849</v>
      </c>
      <c r="J329" s="1" t="s">
        <v>30</v>
      </c>
      <c r="K329" s="1" t="s">
        <v>43</v>
      </c>
      <c r="L329" s="1" t="s">
        <v>41</v>
      </c>
      <c r="M329" s="1" t="s">
        <v>32</v>
      </c>
      <c r="N329" s="3">
        <v>70</v>
      </c>
      <c r="O329" s="1" t="s">
        <v>52</v>
      </c>
      <c r="Q329" t="str">
        <v>d188ad35-6a25-49b0-9ea9-3b9540c27e36</v>
      </c>
    </row>
    <row r="330" spans="1:17" ht="13.8">
      <c r="A330" s="1" t="s">
        <v>374</v>
      </c>
      <c r="B330" s="1" t="s">
        <v>26</v>
      </c>
      <c r="C330" s="1" t="s">
        <v>27</v>
      </c>
      <c r="D330" s="2">
        <v>45918</v>
      </c>
      <c r="E330" s="2">
        <v>45899</v>
      </c>
      <c r="F330" s="3">
        <v>0</v>
      </c>
      <c r="G330" s="1" t="s">
        <v>28</v>
      </c>
      <c r="H330" s="1" t="s">
        <v>49</v>
      </c>
      <c r="I330" s="1"/>
      <c r="J330" s="1" t="s">
        <v>30</v>
      </c>
      <c r="K330" s="1" t="s">
        <v>40</v>
      </c>
      <c r="L330" s="1" t="s">
        <v>22</v>
      </c>
      <c r="M330" s="1" t="s">
        <v>32</v>
      </c>
      <c r="N330" s="3">
        <v>57</v>
      </c>
      <c r="O330" s="1" t="s">
        <v>52</v>
      </c>
      <c r="Q330" t="str">
        <v>6492b445-9fb1-43f8-a4c7-f8b32b9cdcb3</v>
      </c>
    </row>
    <row r="331" spans="1:17" ht="13.8">
      <c r="A331" s="1" t="s">
        <v>375</v>
      </c>
      <c r="B331" s="1" t="s">
        <v>51</v>
      </c>
      <c r="C331" s="1" t="s">
        <v>27</v>
      </c>
      <c r="D331" s="2">
        <v>45876</v>
      </c>
      <c r="E331" s="2">
        <v>45898</v>
      </c>
      <c r="F331" s="3">
        <v>0</v>
      </c>
      <c r="G331" s="1" t="s">
        <v>28</v>
      </c>
      <c r="H331" s="1" t="s">
        <v>49</v>
      </c>
      <c r="I331" s="1"/>
      <c r="J331" s="1" t="s">
        <v>20</v>
      </c>
      <c r="K331" s="1" t="s">
        <v>31</v>
      </c>
      <c r="L331" s="1" t="s">
        <v>27</v>
      </c>
      <c r="M331" s="1" t="s">
        <v>23</v>
      </c>
      <c r="N331" s="3">
        <v>45</v>
      </c>
      <c r="O331" s="1" t="s">
        <v>24</v>
      </c>
      <c r="Q331" t="str">
        <v>68c23942-df9f-4c03-b212-9eab7a24e12b</v>
      </c>
    </row>
    <row r="332" spans="1:17" ht="13.8">
      <c r="A332" s="1" t="s">
        <v>376</v>
      </c>
      <c r="B332" s="1" t="s">
        <v>16</v>
      </c>
      <c r="C332" s="1" t="s">
        <v>17</v>
      </c>
      <c r="D332" s="2">
        <v>45745</v>
      </c>
      <c r="E332" s="2">
        <v>45827</v>
      </c>
      <c r="F332" s="3">
        <v>4628</v>
      </c>
      <c r="G332" s="1" t="s">
        <v>28</v>
      </c>
      <c r="H332" s="1" t="s">
        <v>19</v>
      </c>
      <c r="I332" s="2">
        <v>45929</v>
      </c>
      <c r="J332" s="1" t="s">
        <v>20</v>
      </c>
      <c r="K332" s="1" t="s">
        <v>21</v>
      </c>
      <c r="L332" s="1" t="s">
        <v>22</v>
      </c>
      <c r="M332" s="1" t="s">
        <v>45</v>
      </c>
      <c r="N332" s="3">
        <v>74</v>
      </c>
      <c r="O332" s="1" t="s">
        <v>46</v>
      </c>
      <c r="Q332" t="str">
        <v>fe5c85d4-abee-4293-b048-91a7364d3f2b</v>
      </c>
    </row>
    <row r="333" spans="1:17" ht="13.8">
      <c r="A333" s="1" t="s">
        <v>377</v>
      </c>
      <c r="B333" s="1" t="s">
        <v>38</v>
      </c>
      <c r="C333" s="1" t="s">
        <v>27</v>
      </c>
      <c r="D333" s="2">
        <v>45739</v>
      </c>
      <c r="E333" s="2">
        <v>45699</v>
      </c>
      <c r="F333" s="3">
        <v>0</v>
      </c>
      <c r="G333" s="1" t="s">
        <v>34</v>
      </c>
      <c r="H333" s="1" t="s">
        <v>29</v>
      </c>
      <c r="I333" s="1"/>
      <c r="J333" s="1" t="s">
        <v>30</v>
      </c>
      <c r="K333" s="1" t="s">
        <v>21</v>
      </c>
      <c r="L333" s="1" t="s">
        <v>44</v>
      </c>
      <c r="M333" s="1" t="s">
        <v>23</v>
      </c>
      <c r="N333" s="3">
        <v>90</v>
      </c>
      <c r="O333" s="1" t="s">
        <v>52</v>
      </c>
      <c r="Q333" t="str">
        <v>36df09ce-525e-4b2c-8a36-7f70076a1f4b</v>
      </c>
    </row>
    <row r="334" spans="1:17" ht="13.8">
      <c r="A334" s="1" t="s">
        <v>378</v>
      </c>
      <c r="B334" s="1" t="s">
        <v>51</v>
      </c>
      <c r="C334" s="1" t="s">
        <v>17</v>
      </c>
      <c r="D334" s="2">
        <v>45704</v>
      </c>
      <c r="E334" s="2">
        <v>45857</v>
      </c>
      <c r="F334" s="3">
        <v>4434</v>
      </c>
      <c r="G334" s="1" t="s">
        <v>34</v>
      </c>
      <c r="H334" s="1" t="s">
        <v>19</v>
      </c>
      <c r="I334" s="2">
        <v>45675</v>
      </c>
      <c r="J334" s="1" t="s">
        <v>30</v>
      </c>
      <c r="K334" s="1" t="s">
        <v>21</v>
      </c>
      <c r="L334" s="1" t="s">
        <v>27</v>
      </c>
      <c r="M334" s="1" t="s">
        <v>23</v>
      </c>
      <c r="N334" s="3">
        <v>54</v>
      </c>
      <c r="O334" s="1" t="s">
        <v>24</v>
      </c>
      <c r="Q334" t="str">
        <v>e1e1525a-7231-4950-8039-0ae3d6d1705f</v>
      </c>
    </row>
    <row r="335" spans="1:17" ht="13.8">
      <c r="A335" s="1" t="s">
        <v>379</v>
      </c>
      <c r="B335" s="1" t="s">
        <v>38</v>
      </c>
      <c r="C335" s="1" t="s">
        <v>27</v>
      </c>
      <c r="D335" s="2">
        <v>45860</v>
      </c>
      <c r="E335" s="2">
        <v>45767</v>
      </c>
      <c r="F335" s="3">
        <v>0</v>
      </c>
      <c r="G335" s="1" t="s">
        <v>34</v>
      </c>
      <c r="H335" s="1" t="s">
        <v>19</v>
      </c>
      <c r="I335" s="1"/>
      <c r="J335" s="1" t="s">
        <v>30</v>
      </c>
      <c r="K335" s="1" t="s">
        <v>40</v>
      </c>
      <c r="L335" s="1" t="s">
        <v>22</v>
      </c>
      <c r="M335" s="1" t="s">
        <v>32</v>
      </c>
      <c r="N335" s="3">
        <v>51</v>
      </c>
      <c r="O335" s="1" t="s">
        <v>52</v>
      </c>
      <c r="Q335" t="str">
        <v>df55242f-8fb4-4af7-a972-f4b152d5d6be</v>
      </c>
    </row>
    <row r="336" spans="1:17" ht="13.8">
      <c r="A336" s="1" t="s">
        <v>380</v>
      </c>
      <c r="B336" s="1" t="s">
        <v>38</v>
      </c>
      <c r="C336" s="1" t="s">
        <v>39</v>
      </c>
      <c r="D336" s="2">
        <v>45736</v>
      </c>
      <c r="E336" s="2">
        <v>45736</v>
      </c>
      <c r="F336" s="3">
        <v>0</v>
      </c>
      <c r="G336" s="1" t="s">
        <v>34</v>
      </c>
      <c r="H336" s="1" t="s">
        <v>19</v>
      </c>
      <c r="I336" s="1"/>
      <c r="J336" s="1" t="s">
        <v>30</v>
      </c>
      <c r="K336" s="1" t="s">
        <v>31</v>
      </c>
      <c r="L336" s="1" t="s">
        <v>22</v>
      </c>
      <c r="M336" s="1" t="s">
        <v>36</v>
      </c>
      <c r="N336" s="3">
        <v>65</v>
      </c>
      <c r="O336" s="1" t="s">
        <v>52</v>
      </c>
      <c r="Q336" t="str">
        <v>515430b1-18b4-4b9f-9c1b-c511e116d99c</v>
      </c>
    </row>
    <row r="337" spans="1:17" ht="13.8">
      <c r="A337" s="1" t="s">
        <v>381</v>
      </c>
      <c r="B337" s="1" t="s">
        <v>38</v>
      </c>
      <c r="C337" s="1" t="s">
        <v>17</v>
      </c>
      <c r="D337" s="2">
        <v>45833</v>
      </c>
      <c r="E337" s="2">
        <v>45742</v>
      </c>
      <c r="F337" s="3">
        <v>2841</v>
      </c>
      <c r="G337" s="1" t="s">
        <v>18</v>
      </c>
      <c r="H337" s="1" t="s">
        <v>29</v>
      </c>
      <c r="I337" s="2">
        <v>45684</v>
      </c>
      <c r="J337" s="1" t="s">
        <v>20</v>
      </c>
      <c r="K337" s="1" t="s">
        <v>43</v>
      </c>
      <c r="L337" s="1" t="s">
        <v>41</v>
      </c>
      <c r="M337" s="1" t="s">
        <v>36</v>
      </c>
      <c r="N337" s="3">
        <v>70</v>
      </c>
      <c r="O337" s="1" t="s">
        <v>24</v>
      </c>
      <c r="Q337" t="str">
        <v>c0457649-cef0-4ae1-9835-c1c1d1aabc6f</v>
      </c>
    </row>
    <row r="338" spans="1:17" ht="13.8">
      <c r="A338" s="1" t="s">
        <v>382</v>
      </c>
      <c r="B338" s="1" t="s">
        <v>51</v>
      </c>
      <c r="C338" s="1" t="s">
        <v>27</v>
      </c>
      <c r="D338" s="2">
        <v>45728</v>
      </c>
      <c r="E338" s="2">
        <v>45766</v>
      </c>
      <c r="F338" s="3">
        <v>0</v>
      </c>
      <c r="G338" s="1" t="s">
        <v>34</v>
      </c>
      <c r="H338" s="1" t="s">
        <v>29</v>
      </c>
      <c r="I338" s="1"/>
      <c r="J338" s="1" t="s">
        <v>30</v>
      </c>
      <c r="K338" s="1" t="s">
        <v>21</v>
      </c>
      <c r="L338" s="1" t="s">
        <v>22</v>
      </c>
      <c r="M338" s="1" t="s">
        <v>23</v>
      </c>
      <c r="N338" s="3">
        <v>52</v>
      </c>
      <c r="O338" s="1" t="s">
        <v>24</v>
      </c>
      <c r="Q338" t="str">
        <v>910465d3-e6d0-4ba7-a252-fefe0c77ecf1</v>
      </c>
    </row>
    <row r="339" spans="1:17" ht="13.8">
      <c r="A339" s="1" t="s">
        <v>383</v>
      </c>
      <c r="B339" s="1" t="s">
        <v>51</v>
      </c>
      <c r="C339" s="1" t="s">
        <v>39</v>
      </c>
      <c r="D339" s="2">
        <v>45926</v>
      </c>
      <c r="E339" s="2">
        <v>45926</v>
      </c>
      <c r="F339" s="3">
        <v>0</v>
      </c>
      <c r="G339" s="1" t="s">
        <v>18</v>
      </c>
      <c r="H339" s="1" t="s">
        <v>49</v>
      </c>
      <c r="I339" s="1"/>
      <c r="J339" s="1" t="s">
        <v>20</v>
      </c>
      <c r="K339" s="1" t="s">
        <v>40</v>
      </c>
      <c r="L339" s="1" t="s">
        <v>22</v>
      </c>
      <c r="M339" s="1" t="s">
        <v>45</v>
      </c>
      <c r="N339" s="3">
        <v>91</v>
      </c>
      <c r="O339" s="1" t="s">
        <v>24</v>
      </c>
      <c r="Q339" t="str">
        <v>b967bbff-734d-40d5-9976-37232970c8d4</v>
      </c>
    </row>
    <row r="340" spans="1:17" ht="13.8">
      <c r="A340" s="1" t="s">
        <v>384</v>
      </c>
      <c r="B340" s="1" t="s">
        <v>38</v>
      </c>
      <c r="C340" s="1" t="s">
        <v>17</v>
      </c>
      <c r="D340" s="2">
        <v>45788</v>
      </c>
      <c r="E340" s="2">
        <v>45879</v>
      </c>
      <c r="F340" s="3">
        <v>3138</v>
      </c>
      <c r="G340" s="1" t="s">
        <v>48</v>
      </c>
      <c r="H340" s="1" t="s">
        <v>49</v>
      </c>
      <c r="I340" s="2">
        <v>45797</v>
      </c>
      <c r="J340" s="1" t="s">
        <v>30</v>
      </c>
      <c r="K340" s="1" t="s">
        <v>21</v>
      </c>
      <c r="L340" s="1" t="s">
        <v>41</v>
      </c>
      <c r="M340" s="1" t="s">
        <v>23</v>
      </c>
      <c r="N340" s="3">
        <v>48</v>
      </c>
      <c r="O340" s="1" t="s">
        <v>46</v>
      </c>
      <c r="Q340" t="str">
        <v>c66c6145-6a86-4ca5-b660-61fbbd03fe46</v>
      </c>
    </row>
    <row r="341" spans="1:17" ht="13.8">
      <c r="A341" s="1" t="s">
        <v>385</v>
      </c>
      <c r="B341" s="1" t="s">
        <v>16</v>
      </c>
      <c r="C341" s="1" t="s">
        <v>17</v>
      </c>
      <c r="D341" s="2">
        <v>45803</v>
      </c>
      <c r="E341" s="2">
        <v>45699</v>
      </c>
      <c r="F341" s="3">
        <v>2947</v>
      </c>
      <c r="G341" s="1" t="s">
        <v>28</v>
      </c>
      <c r="H341" s="1" t="s">
        <v>49</v>
      </c>
      <c r="I341" s="2">
        <v>45775</v>
      </c>
      <c r="J341" s="1" t="s">
        <v>30</v>
      </c>
      <c r="K341" s="1" t="s">
        <v>31</v>
      </c>
      <c r="L341" s="1" t="s">
        <v>44</v>
      </c>
      <c r="M341" s="1" t="s">
        <v>45</v>
      </c>
      <c r="N341" s="3">
        <v>71</v>
      </c>
      <c r="O341" s="1" t="s">
        <v>24</v>
      </c>
      <c r="Q341" t="str">
        <v>6bf6abf8-fbc2-4b79-a0e2-864bb3599317</v>
      </c>
    </row>
    <row r="342" spans="1:17" ht="13.8">
      <c r="A342" s="1" t="s">
        <v>386</v>
      </c>
      <c r="B342" s="1" t="s">
        <v>38</v>
      </c>
      <c r="C342" s="1" t="s">
        <v>39</v>
      </c>
      <c r="D342" s="2">
        <v>45878</v>
      </c>
      <c r="E342" s="2">
        <v>45878</v>
      </c>
      <c r="F342" s="3">
        <v>0</v>
      </c>
      <c r="G342" s="1" t="s">
        <v>48</v>
      </c>
      <c r="H342" s="1" t="s">
        <v>49</v>
      </c>
      <c r="I342" s="1"/>
      <c r="J342" s="1" t="s">
        <v>30</v>
      </c>
      <c r="K342" s="1" t="s">
        <v>43</v>
      </c>
      <c r="L342" s="1" t="s">
        <v>44</v>
      </c>
      <c r="M342" s="1" t="s">
        <v>36</v>
      </c>
      <c r="N342" s="3">
        <v>91</v>
      </c>
      <c r="O342" s="1" t="s">
        <v>52</v>
      </c>
      <c r="Q342" t="str">
        <v>0c74fb30-9f88-48d2-a502-72873a82f3d8</v>
      </c>
    </row>
    <row r="343" spans="1:17" ht="13.8">
      <c r="A343" s="1" t="s">
        <v>387</v>
      </c>
      <c r="B343" s="1" t="s">
        <v>16</v>
      </c>
      <c r="C343" s="1" t="s">
        <v>27</v>
      </c>
      <c r="D343" s="2">
        <v>45910</v>
      </c>
      <c r="E343" s="2">
        <v>45761</v>
      </c>
      <c r="F343" s="3">
        <v>0</v>
      </c>
      <c r="G343" s="1" t="s">
        <v>18</v>
      </c>
      <c r="H343" s="1" t="s">
        <v>29</v>
      </c>
      <c r="I343" s="1"/>
      <c r="J343" s="1" t="s">
        <v>30</v>
      </c>
      <c r="K343" s="1" t="s">
        <v>21</v>
      </c>
      <c r="L343" s="1" t="s">
        <v>22</v>
      </c>
      <c r="M343" s="1" t="s">
        <v>32</v>
      </c>
      <c r="N343" s="3">
        <v>84</v>
      </c>
      <c r="O343" s="1" t="s">
        <v>24</v>
      </c>
      <c r="Q343" t="str">
        <v>dbbbd40c-7776-439a-99d6-641f631966e6</v>
      </c>
    </row>
    <row r="344" spans="1:17" ht="13.8">
      <c r="A344" s="1" t="s">
        <v>388</v>
      </c>
      <c r="B344" s="1" t="s">
        <v>38</v>
      </c>
      <c r="C344" s="1" t="s">
        <v>17</v>
      </c>
      <c r="D344" s="2">
        <v>45842</v>
      </c>
      <c r="E344" s="2">
        <v>45879</v>
      </c>
      <c r="F344" s="3">
        <v>2009</v>
      </c>
      <c r="G344" s="1" t="s">
        <v>18</v>
      </c>
      <c r="H344" s="1" t="s">
        <v>29</v>
      </c>
      <c r="I344" s="2">
        <v>45684</v>
      </c>
      <c r="J344" s="1" t="s">
        <v>30</v>
      </c>
      <c r="K344" s="1" t="s">
        <v>40</v>
      </c>
      <c r="L344" s="1" t="s">
        <v>27</v>
      </c>
      <c r="M344" s="1" t="s">
        <v>36</v>
      </c>
      <c r="N344" s="3">
        <v>49</v>
      </c>
      <c r="O344" s="1" t="s">
        <v>52</v>
      </c>
      <c r="Q344" t="str">
        <v>ddae06bf-758d-4669-9d9d-e8274a7a68b7</v>
      </c>
    </row>
    <row r="345" spans="1:17" ht="13.8">
      <c r="A345" s="1" t="s">
        <v>389</v>
      </c>
      <c r="B345" s="1" t="s">
        <v>51</v>
      </c>
      <c r="C345" s="1" t="s">
        <v>27</v>
      </c>
      <c r="D345" s="2">
        <v>45678</v>
      </c>
      <c r="E345" s="2">
        <v>45849</v>
      </c>
      <c r="F345" s="3">
        <v>0</v>
      </c>
      <c r="G345" s="1" t="s">
        <v>34</v>
      </c>
      <c r="H345" s="1" t="s">
        <v>29</v>
      </c>
      <c r="I345" s="1"/>
      <c r="J345" s="1" t="s">
        <v>20</v>
      </c>
      <c r="K345" s="1" t="s">
        <v>31</v>
      </c>
      <c r="L345" s="1" t="s">
        <v>27</v>
      </c>
      <c r="M345" s="1" t="s">
        <v>45</v>
      </c>
      <c r="N345" s="3">
        <v>31</v>
      </c>
      <c r="O345" s="1" t="s">
        <v>52</v>
      </c>
      <c r="Q345" t="str">
        <v>f2ec5ba0-bbc0-445b-9211-157b186b3613</v>
      </c>
    </row>
    <row r="346" spans="1:17" ht="13.8">
      <c r="A346" s="1" t="s">
        <v>390</v>
      </c>
      <c r="B346" s="1" t="s">
        <v>26</v>
      </c>
      <c r="C346" s="1" t="s">
        <v>39</v>
      </c>
      <c r="D346" s="2">
        <v>45784</v>
      </c>
      <c r="E346" s="2">
        <v>45784</v>
      </c>
      <c r="F346" s="3">
        <v>0</v>
      </c>
      <c r="G346" s="1" t="s">
        <v>28</v>
      </c>
      <c r="H346" s="1" t="s">
        <v>19</v>
      </c>
      <c r="I346" s="1"/>
      <c r="J346" s="1" t="s">
        <v>30</v>
      </c>
      <c r="K346" s="1" t="s">
        <v>40</v>
      </c>
      <c r="L346" s="1" t="s">
        <v>41</v>
      </c>
      <c r="M346" s="1" t="s">
        <v>32</v>
      </c>
      <c r="N346" s="3">
        <v>52</v>
      </c>
      <c r="O346" s="1" t="s">
        <v>52</v>
      </c>
      <c r="Q346" t="str">
        <v>289b1f8e-fd87-461d-824c-c755a34bc3e9</v>
      </c>
    </row>
    <row r="347" spans="1:17" ht="13.8">
      <c r="A347" s="1" t="s">
        <v>391</v>
      </c>
      <c r="B347" s="1" t="s">
        <v>16</v>
      </c>
      <c r="C347" s="1" t="s">
        <v>39</v>
      </c>
      <c r="D347" s="2">
        <v>45827</v>
      </c>
      <c r="E347" s="2">
        <v>45827</v>
      </c>
      <c r="F347" s="3">
        <v>0</v>
      </c>
      <c r="G347" s="1" t="s">
        <v>34</v>
      </c>
      <c r="H347" s="1" t="s">
        <v>49</v>
      </c>
      <c r="I347" s="1"/>
      <c r="J347" s="1" t="s">
        <v>20</v>
      </c>
      <c r="K347" s="1" t="s">
        <v>31</v>
      </c>
      <c r="L347" s="1" t="s">
        <v>44</v>
      </c>
      <c r="M347" s="1" t="s">
        <v>32</v>
      </c>
      <c r="N347" s="3">
        <v>69</v>
      </c>
      <c r="O347" s="1" t="s">
        <v>46</v>
      </c>
      <c r="Q347" t="str">
        <v>3ec85b54-f67e-4a5e-805e-276c510bd348</v>
      </c>
    </row>
    <row r="348" spans="1:17" ht="13.8">
      <c r="A348" s="1" t="s">
        <v>392</v>
      </c>
      <c r="B348" s="1" t="s">
        <v>38</v>
      </c>
      <c r="C348" s="1" t="s">
        <v>39</v>
      </c>
      <c r="D348" s="2">
        <v>45701</v>
      </c>
      <c r="E348" s="2">
        <v>45701</v>
      </c>
      <c r="F348" s="3">
        <v>0</v>
      </c>
      <c r="G348" s="1" t="s">
        <v>18</v>
      </c>
      <c r="H348" s="1" t="s">
        <v>49</v>
      </c>
      <c r="I348" s="1"/>
      <c r="J348" s="1" t="s">
        <v>30</v>
      </c>
      <c r="K348" s="1" t="s">
        <v>21</v>
      </c>
      <c r="L348" s="1" t="s">
        <v>44</v>
      </c>
      <c r="M348" s="1" t="s">
        <v>32</v>
      </c>
      <c r="N348" s="3">
        <v>91</v>
      </c>
      <c r="O348" s="1" t="s">
        <v>24</v>
      </c>
      <c r="Q348" t="str">
        <v>44495be8-01a0-4f66-b50c-525a8e70bd51</v>
      </c>
    </row>
    <row r="349" spans="1:17" ht="13.8">
      <c r="A349" s="1" t="s">
        <v>393</v>
      </c>
      <c r="B349" s="1" t="s">
        <v>38</v>
      </c>
      <c r="C349" s="1" t="s">
        <v>17</v>
      </c>
      <c r="D349" s="2">
        <v>45841</v>
      </c>
      <c r="E349" s="2">
        <v>45846</v>
      </c>
      <c r="F349" s="3">
        <v>2183</v>
      </c>
      <c r="G349" s="1" t="s">
        <v>48</v>
      </c>
      <c r="H349" s="1" t="s">
        <v>49</v>
      </c>
      <c r="I349" s="2">
        <v>45748</v>
      </c>
      <c r="J349" s="1" t="s">
        <v>20</v>
      </c>
      <c r="K349" s="1" t="s">
        <v>43</v>
      </c>
      <c r="L349" s="1" t="s">
        <v>22</v>
      </c>
      <c r="M349" s="1" t="s">
        <v>23</v>
      </c>
      <c r="N349" s="3">
        <v>44</v>
      </c>
      <c r="O349" s="1" t="s">
        <v>24</v>
      </c>
      <c r="Q349" t="str">
        <v>73247b6d-52b4-4637-b95b-6a14eb388943</v>
      </c>
    </row>
    <row r="350" spans="1:17" ht="13.8">
      <c r="A350" s="1" t="s">
        <v>394</v>
      </c>
      <c r="B350" s="1" t="s">
        <v>38</v>
      </c>
      <c r="C350" s="1" t="s">
        <v>39</v>
      </c>
      <c r="D350" s="2">
        <v>45680</v>
      </c>
      <c r="E350" s="2">
        <v>45680</v>
      </c>
      <c r="F350" s="3">
        <v>0</v>
      </c>
      <c r="G350" s="1" t="s">
        <v>28</v>
      </c>
      <c r="H350" s="1" t="s">
        <v>19</v>
      </c>
      <c r="I350" s="1"/>
      <c r="J350" s="1" t="s">
        <v>30</v>
      </c>
      <c r="K350" s="1" t="s">
        <v>43</v>
      </c>
      <c r="L350" s="1" t="s">
        <v>27</v>
      </c>
      <c r="M350" s="1" t="s">
        <v>36</v>
      </c>
      <c r="N350" s="3">
        <v>38</v>
      </c>
      <c r="O350" s="1" t="s">
        <v>52</v>
      </c>
      <c r="Q350" t="str">
        <v>beec5c1c-ef85-4ba2-a3b7-9d3ae692c55d</v>
      </c>
    </row>
    <row r="351" spans="1:17" ht="13.8">
      <c r="A351" s="1" t="s">
        <v>395</v>
      </c>
      <c r="B351" s="1" t="s">
        <v>38</v>
      </c>
      <c r="C351" s="1" t="s">
        <v>39</v>
      </c>
      <c r="D351" s="2">
        <v>45760</v>
      </c>
      <c r="E351" s="2">
        <v>45760</v>
      </c>
      <c r="F351" s="3">
        <v>0</v>
      </c>
      <c r="G351" s="1" t="s">
        <v>18</v>
      </c>
      <c r="H351" s="1" t="s">
        <v>29</v>
      </c>
      <c r="I351" s="1"/>
      <c r="J351" s="1" t="s">
        <v>30</v>
      </c>
      <c r="K351" s="1" t="s">
        <v>40</v>
      </c>
      <c r="L351" s="1" t="s">
        <v>44</v>
      </c>
      <c r="M351" s="1" t="s">
        <v>32</v>
      </c>
      <c r="N351" s="3">
        <v>50</v>
      </c>
      <c r="O351" s="1" t="s">
        <v>24</v>
      </c>
      <c r="Q351" t="str">
        <v>c24a134b-49cd-4ca3-b260-e31864b5c6f8</v>
      </c>
    </row>
    <row r="352" spans="1:17" ht="13.8">
      <c r="A352" s="1" t="s">
        <v>396</v>
      </c>
      <c r="B352" s="1" t="s">
        <v>38</v>
      </c>
      <c r="C352" s="1" t="s">
        <v>39</v>
      </c>
      <c r="D352" s="2">
        <v>45855</v>
      </c>
      <c r="E352" s="2">
        <v>45855</v>
      </c>
      <c r="F352" s="3">
        <v>0</v>
      </c>
      <c r="G352" s="1" t="s">
        <v>18</v>
      </c>
      <c r="H352" s="1" t="s">
        <v>29</v>
      </c>
      <c r="I352" s="1"/>
      <c r="J352" s="1" t="s">
        <v>20</v>
      </c>
      <c r="K352" s="1" t="s">
        <v>40</v>
      </c>
      <c r="L352" s="1" t="s">
        <v>44</v>
      </c>
      <c r="M352" s="1" t="s">
        <v>36</v>
      </c>
      <c r="N352" s="3">
        <v>58</v>
      </c>
      <c r="O352" s="1" t="s">
        <v>46</v>
      </c>
      <c r="Q352" t="str">
        <v>8c279586-e225-4087-83b6-27f2d5f021bb</v>
      </c>
    </row>
    <row r="353" spans="1:17" ht="13.8">
      <c r="A353" s="1" t="s">
        <v>397</v>
      </c>
      <c r="B353" s="1" t="s">
        <v>16</v>
      </c>
      <c r="C353" s="1" t="s">
        <v>17</v>
      </c>
      <c r="D353" s="2">
        <v>45708</v>
      </c>
      <c r="E353" s="2">
        <v>45703</v>
      </c>
      <c r="F353" s="3">
        <v>2480</v>
      </c>
      <c r="G353" s="1" t="s">
        <v>18</v>
      </c>
      <c r="H353" s="1" t="s">
        <v>35</v>
      </c>
      <c r="I353" s="2">
        <v>45831</v>
      </c>
      <c r="J353" s="1" t="s">
        <v>20</v>
      </c>
      <c r="K353" s="1" t="s">
        <v>31</v>
      </c>
      <c r="L353" s="1" t="s">
        <v>41</v>
      </c>
      <c r="M353" s="1" t="s">
        <v>32</v>
      </c>
      <c r="N353" s="3">
        <v>39</v>
      </c>
      <c r="O353" s="1" t="s">
        <v>46</v>
      </c>
      <c r="Q353" t="str">
        <v>842f8167-28e6-47da-a2a7-813249a92f9c</v>
      </c>
    </row>
    <row r="354" spans="1:17" ht="13.8">
      <c r="A354" s="1" t="s">
        <v>398</v>
      </c>
      <c r="B354" s="1" t="s">
        <v>16</v>
      </c>
      <c r="C354" s="1" t="s">
        <v>39</v>
      </c>
      <c r="D354" s="2">
        <v>45747</v>
      </c>
      <c r="E354" s="2">
        <v>45747</v>
      </c>
      <c r="F354" s="3">
        <v>0</v>
      </c>
      <c r="G354" s="1" t="s">
        <v>48</v>
      </c>
      <c r="H354" s="1" t="s">
        <v>29</v>
      </c>
      <c r="I354" s="1"/>
      <c r="J354" s="1" t="s">
        <v>30</v>
      </c>
      <c r="K354" s="1" t="s">
        <v>43</v>
      </c>
      <c r="L354" s="1" t="s">
        <v>44</v>
      </c>
      <c r="M354" s="1" t="s">
        <v>23</v>
      </c>
      <c r="N354" s="3">
        <v>77</v>
      </c>
      <c r="O354" s="1" t="s">
        <v>46</v>
      </c>
      <c r="Q354" t="str">
        <v>05510218-6592-493a-8ee0-e435696cd603</v>
      </c>
    </row>
    <row r="355" spans="1:17" ht="13.8">
      <c r="A355" s="1" t="s">
        <v>399</v>
      </c>
      <c r="B355" s="1" t="s">
        <v>26</v>
      </c>
      <c r="C355" s="1" t="s">
        <v>27</v>
      </c>
      <c r="D355" s="2">
        <v>45919</v>
      </c>
      <c r="E355" s="2">
        <v>45926</v>
      </c>
      <c r="F355" s="3">
        <v>0</v>
      </c>
      <c r="G355" s="1" t="s">
        <v>28</v>
      </c>
      <c r="H355" s="1" t="s">
        <v>29</v>
      </c>
      <c r="I355" s="1"/>
      <c r="J355" s="1" t="s">
        <v>20</v>
      </c>
      <c r="K355" s="1" t="s">
        <v>21</v>
      </c>
      <c r="L355" s="1" t="s">
        <v>27</v>
      </c>
      <c r="M355" s="1" t="s">
        <v>36</v>
      </c>
      <c r="N355" s="3">
        <v>64</v>
      </c>
      <c r="O355" s="1" t="s">
        <v>46</v>
      </c>
      <c r="Q355" t="str">
        <v>7f0153e5-3d1b-4c29-a3a2-8fcbdbea8854</v>
      </c>
    </row>
    <row r="356" spans="1:17" ht="13.8">
      <c r="A356" s="1" t="s">
        <v>400</v>
      </c>
      <c r="B356" s="1" t="s">
        <v>51</v>
      </c>
      <c r="C356" s="1" t="s">
        <v>17</v>
      </c>
      <c r="D356" s="2">
        <v>45730</v>
      </c>
      <c r="E356" s="2">
        <v>45663</v>
      </c>
      <c r="F356" s="3">
        <v>2615</v>
      </c>
      <c r="G356" s="1" t="s">
        <v>18</v>
      </c>
      <c r="H356" s="1" t="s">
        <v>35</v>
      </c>
      <c r="I356" s="2">
        <v>45677</v>
      </c>
      <c r="J356" s="1" t="s">
        <v>30</v>
      </c>
      <c r="K356" s="1" t="s">
        <v>21</v>
      </c>
      <c r="L356" s="1" t="s">
        <v>41</v>
      </c>
      <c r="M356" s="1" t="s">
        <v>32</v>
      </c>
      <c r="N356" s="3">
        <v>66</v>
      </c>
      <c r="O356" s="1" t="s">
        <v>24</v>
      </c>
      <c r="Q356" t="str">
        <v>7d1ccaa8-021d-4ee4-92f0-ce7b8e902363</v>
      </c>
    </row>
    <row r="357" spans="1:17" ht="13.8">
      <c r="A357" s="1" t="s">
        <v>401</v>
      </c>
      <c r="B357" s="1" t="s">
        <v>16</v>
      </c>
      <c r="C357" s="1" t="s">
        <v>27</v>
      </c>
      <c r="D357" s="2">
        <v>45772</v>
      </c>
      <c r="E357" s="2">
        <v>45749</v>
      </c>
      <c r="F357" s="3">
        <v>0</v>
      </c>
      <c r="G357" s="1" t="s">
        <v>28</v>
      </c>
      <c r="H357" s="1" t="s">
        <v>35</v>
      </c>
      <c r="I357" s="1"/>
      <c r="J357" s="1" t="s">
        <v>30</v>
      </c>
      <c r="K357" s="1" t="s">
        <v>31</v>
      </c>
      <c r="L357" s="1" t="s">
        <v>41</v>
      </c>
      <c r="M357" s="1" t="s">
        <v>36</v>
      </c>
      <c r="N357" s="3">
        <v>50</v>
      </c>
      <c r="O357" s="1" t="s">
        <v>24</v>
      </c>
      <c r="Q357" t="str">
        <v>93bb3aa7-a44a-4b5a-94c5-c70d48732569</v>
      </c>
    </row>
    <row r="358" spans="1:17" ht="13.8">
      <c r="A358" s="1" t="s">
        <v>402</v>
      </c>
      <c r="B358" s="1" t="s">
        <v>16</v>
      </c>
      <c r="C358" s="1" t="s">
        <v>27</v>
      </c>
      <c r="D358" s="2">
        <v>45934</v>
      </c>
      <c r="E358" s="2">
        <v>45759</v>
      </c>
      <c r="F358" s="3">
        <v>0</v>
      </c>
      <c r="G358" s="1" t="s">
        <v>18</v>
      </c>
      <c r="H358" s="1" t="s">
        <v>19</v>
      </c>
      <c r="I358" s="1"/>
      <c r="J358" s="1" t="s">
        <v>30</v>
      </c>
      <c r="K358" s="1" t="s">
        <v>43</v>
      </c>
      <c r="L358" s="1" t="s">
        <v>22</v>
      </c>
      <c r="M358" s="1" t="s">
        <v>45</v>
      </c>
      <c r="N358" s="3">
        <v>32</v>
      </c>
      <c r="O358" s="1" t="s">
        <v>46</v>
      </c>
      <c r="Q358" t="str">
        <v>5eda1f67-a344-4647-a021-70cb5ac653e7</v>
      </c>
    </row>
    <row r="359" spans="1:17" ht="13.8">
      <c r="A359" s="1" t="s">
        <v>403</v>
      </c>
      <c r="B359" s="1" t="s">
        <v>51</v>
      </c>
      <c r="C359" s="1" t="s">
        <v>17</v>
      </c>
      <c r="D359" s="2">
        <v>45724</v>
      </c>
      <c r="E359" s="2">
        <v>45801</v>
      </c>
      <c r="F359" s="3">
        <v>4548</v>
      </c>
      <c r="G359" s="1" t="s">
        <v>28</v>
      </c>
      <c r="H359" s="1" t="s">
        <v>29</v>
      </c>
      <c r="I359" s="2">
        <v>45721</v>
      </c>
      <c r="J359" s="1" t="s">
        <v>30</v>
      </c>
      <c r="K359" s="1" t="s">
        <v>21</v>
      </c>
      <c r="L359" s="1" t="s">
        <v>44</v>
      </c>
      <c r="M359" s="1" t="s">
        <v>32</v>
      </c>
      <c r="N359" s="3">
        <v>63</v>
      </c>
      <c r="O359" s="1" t="s">
        <v>24</v>
      </c>
      <c r="Q359" t="str">
        <v>93a1aa7d-838e-4954-8ea3-419ab0b3a831</v>
      </c>
    </row>
    <row r="360" spans="1:17" ht="13.8">
      <c r="A360" s="1" t="s">
        <v>404</v>
      </c>
      <c r="B360" s="1" t="s">
        <v>51</v>
      </c>
      <c r="C360" s="1" t="s">
        <v>17</v>
      </c>
      <c r="D360" s="2">
        <v>45772</v>
      </c>
      <c r="E360" s="2">
        <v>45709</v>
      </c>
      <c r="F360" s="3">
        <v>4591</v>
      </c>
      <c r="G360" s="1" t="s">
        <v>18</v>
      </c>
      <c r="H360" s="1" t="s">
        <v>49</v>
      </c>
      <c r="I360" s="2">
        <v>45697</v>
      </c>
      <c r="J360" s="1" t="s">
        <v>30</v>
      </c>
      <c r="K360" s="1" t="s">
        <v>43</v>
      </c>
      <c r="L360" s="1" t="s">
        <v>27</v>
      </c>
      <c r="M360" s="1" t="s">
        <v>36</v>
      </c>
      <c r="N360" s="3">
        <v>56</v>
      </c>
      <c r="O360" s="1" t="s">
        <v>46</v>
      </c>
      <c r="Q360" t="str">
        <v>c69465ea-094a-4aed-b0dc-d813baae9fe2</v>
      </c>
    </row>
    <row r="361" spans="1:17" ht="13.8">
      <c r="A361" s="1" t="s">
        <v>405</v>
      </c>
      <c r="B361" s="1" t="s">
        <v>38</v>
      </c>
      <c r="C361" s="1" t="s">
        <v>17</v>
      </c>
      <c r="D361" s="2">
        <v>45873</v>
      </c>
      <c r="E361" s="2">
        <v>45902</v>
      </c>
      <c r="F361" s="3">
        <v>4208</v>
      </c>
      <c r="G361" s="1" t="s">
        <v>48</v>
      </c>
      <c r="H361" s="1" t="s">
        <v>19</v>
      </c>
      <c r="I361" s="2">
        <v>45676</v>
      </c>
      <c r="J361" s="1" t="s">
        <v>30</v>
      </c>
      <c r="K361" s="1" t="s">
        <v>31</v>
      </c>
      <c r="L361" s="1" t="s">
        <v>27</v>
      </c>
      <c r="M361" s="1" t="s">
        <v>32</v>
      </c>
      <c r="N361" s="3">
        <v>94</v>
      </c>
      <c r="O361" s="1" t="s">
        <v>24</v>
      </c>
      <c r="Q361" t="str">
        <v>b882fcbd-dac6-4106-a114-bf438bdbf097</v>
      </c>
    </row>
    <row r="362" spans="1:17" ht="13.8">
      <c r="A362" s="1" t="s">
        <v>406</v>
      </c>
      <c r="B362" s="1" t="s">
        <v>16</v>
      </c>
      <c r="C362" s="1" t="s">
        <v>17</v>
      </c>
      <c r="D362" s="2">
        <v>45822</v>
      </c>
      <c r="E362" s="4">
        <v>45941</v>
      </c>
      <c r="F362" s="3">
        <v>3115</v>
      </c>
      <c r="G362" s="1" t="s">
        <v>18</v>
      </c>
      <c r="H362" s="1" t="s">
        <v>19</v>
      </c>
      <c r="I362" s="2">
        <v>45798</v>
      </c>
      <c r="J362" s="1" t="s">
        <v>20</v>
      </c>
      <c r="K362" s="1" t="s">
        <v>31</v>
      </c>
      <c r="L362" s="1" t="s">
        <v>27</v>
      </c>
      <c r="M362" s="1" t="s">
        <v>36</v>
      </c>
      <c r="N362" s="3">
        <v>57</v>
      </c>
      <c r="O362" s="1" t="s">
        <v>46</v>
      </c>
      <c r="Q362" t="str">
        <v>eb394cd6-6f25-4a29-aa69-c90301e758cb</v>
      </c>
    </row>
    <row r="363" spans="1:17" ht="13.8">
      <c r="A363" s="1" t="s">
        <v>407</v>
      </c>
      <c r="B363" s="1" t="s">
        <v>38</v>
      </c>
      <c r="C363" s="1" t="s">
        <v>39</v>
      </c>
      <c r="D363" s="2">
        <v>45844</v>
      </c>
      <c r="E363" s="2">
        <v>45844</v>
      </c>
      <c r="F363" s="3">
        <v>0</v>
      </c>
      <c r="G363" s="1" t="s">
        <v>34</v>
      </c>
      <c r="H363" s="1" t="s">
        <v>49</v>
      </c>
      <c r="I363" s="1"/>
      <c r="J363" s="1" t="s">
        <v>20</v>
      </c>
      <c r="K363" s="1" t="s">
        <v>21</v>
      </c>
      <c r="L363" s="1" t="s">
        <v>44</v>
      </c>
      <c r="M363" s="1" t="s">
        <v>45</v>
      </c>
      <c r="N363" s="3">
        <v>47</v>
      </c>
      <c r="O363" s="1" t="s">
        <v>24</v>
      </c>
      <c r="Q363" t="str">
        <v>43de83d5-3315-4505-9326-4ae53a3ca223</v>
      </c>
    </row>
    <row r="364" spans="1:17" ht="13.8">
      <c r="A364" s="1" t="s">
        <v>408</v>
      </c>
      <c r="B364" s="1" t="s">
        <v>26</v>
      </c>
      <c r="C364" s="1" t="s">
        <v>17</v>
      </c>
      <c r="D364" s="2">
        <v>45861</v>
      </c>
      <c r="E364" s="2">
        <v>45702</v>
      </c>
      <c r="F364" s="3">
        <v>4363</v>
      </c>
      <c r="G364" s="1" t="s">
        <v>28</v>
      </c>
      <c r="H364" s="1" t="s">
        <v>35</v>
      </c>
      <c r="I364" s="2">
        <v>45791</v>
      </c>
      <c r="J364" s="1" t="s">
        <v>30</v>
      </c>
      <c r="K364" s="1" t="s">
        <v>40</v>
      </c>
      <c r="L364" s="1" t="s">
        <v>44</v>
      </c>
      <c r="M364" s="1" t="s">
        <v>45</v>
      </c>
      <c r="N364" s="3">
        <v>40</v>
      </c>
      <c r="O364" s="1" t="s">
        <v>24</v>
      </c>
      <c r="Q364" t="str">
        <v>00eef458-7686-4a5d-8e14-415cfad36eea</v>
      </c>
    </row>
    <row r="365" spans="1:17" ht="13.8">
      <c r="A365" s="1" t="s">
        <v>409</v>
      </c>
      <c r="B365" s="1" t="s">
        <v>51</v>
      </c>
      <c r="C365" s="1" t="s">
        <v>27</v>
      </c>
      <c r="D365" s="2">
        <v>45779</v>
      </c>
      <c r="E365" s="2">
        <v>45827</v>
      </c>
      <c r="F365" s="3">
        <v>0</v>
      </c>
      <c r="G365" s="1" t="s">
        <v>28</v>
      </c>
      <c r="H365" s="1" t="s">
        <v>29</v>
      </c>
      <c r="I365" s="1"/>
      <c r="J365" s="1" t="s">
        <v>20</v>
      </c>
      <c r="K365" s="1" t="s">
        <v>43</v>
      </c>
      <c r="L365" s="1" t="s">
        <v>22</v>
      </c>
      <c r="M365" s="1" t="s">
        <v>23</v>
      </c>
      <c r="N365" s="3">
        <v>74</v>
      </c>
      <c r="O365" s="1" t="s">
        <v>24</v>
      </c>
      <c r="Q365" t="str">
        <v>a1253296-b408-4b55-a62e-55b8cf577399</v>
      </c>
    </row>
    <row r="366" spans="1:17" ht="13.8">
      <c r="A366" s="1" t="s">
        <v>410</v>
      </c>
      <c r="B366" s="1" t="s">
        <v>26</v>
      </c>
      <c r="C366" s="1" t="s">
        <v>39</v>
      </c>
      <c r="D366" s="2">
        <v>45818</v>
      </c>
      <c r="E366" s="2">
        <v>45818</v>
      </c>
      <c r="F366" s="3">
        <v>0</v>
      </c>
      <c r="G366" s="1" t="s">
        <v>28</v>
      </c>
      <c r="H366" s="1" t="s">
        <v>19</v>
      </c>
      <c r="I366" s="1"/>
      <c r="J366" s="1" t="s">
        <v>30</v>
      </c>
      <c r="K366" s="1" t="s">
        <v>43</v>
      </c>
      <c r="L366" s="1" t="s">
        <v>22</v>
      </c>
      <c r="M366" s="1" t="s">
        <v>45</v>
      </c>
      <c r="N366" s="3">
        <v>61</v>
      </c>
      <c r="O366" s="1" t="s">
        <v>24</v>
      </c>
      <c r="Q366" t="str">
        <v>23318e22-76c3-4e5f-9cff-6d454bc5c4f4</v>
      </c>
    </row>
    <row r="367" spans="1:17" ht="13.8">
      <c r="A367" s="1" t="s">
        <v>411</v>
      </c>
      <c r="B367" s="1" t="s">
        <v>16</v>
      </c>
      <c r="C367" s="1" t="s">
        <v>17</v>
      </c>
      <c r="D367" s="2">
        <v>45849</v>
      </c>
      <c r="E367" s="2">
        <v>45780</v>
      </c>
      <c r="F367" s="3">
        <v>4505</v>
      </c>
      <c r="G367" s="1" t="s">
        <v>34</v>
      </c>
      <c r="H367" s="1" t="s">
        <v>35</v>
      </c>
      <c r="I367" s="2">
        <v>45739</v>
      </c>
      <c r="J367" s="1" t="s">
        <v>30</v>
      </c>
      <c r="K367" s="1" t="s">
        <v>40</v>
      </c>
      <c r="L367" s="1" t="s">
        <v>44</v>
      </c>
      <c r="M367" s="1" t="s">
        <v>23</v>
      </c>
      <c r="N367" s="3">
        <v>47</v>
      </c>
      <c r="O367" s="1" t="s">
        <v>46</v>
      </c>
      <c r="Q367" t="str">
        <v>3b9c16ed-c757-497f-b8cb-c45879052610</v>
      </c>
    </row>
    <row r="368" spans="1:17" ht="13.8">
      <c r="A368" s="1" t="s">
        <v>412</v>
      </c>
      <c r="B368" s="1" t="s">
        <v>26</v>
      </c>
      <c r="C368" s="1" t="s">
        <v>39</v>
      </c>
      <c r="D368" s="2">
        <v>45671</v>
      </c>
      <c r="E368" s="2">
        <v>45671</v>
      </c>
      <c r="F368" s="3">
        <v>0</v>
      </c>
      <c r="G368" s="1" t="s">
        <v>18</v>
      </c>
      <c r="H368" s="1" t="s">
        <v>49</v>
      </c>
      <c r="I368" s="1"/>
      <c r="J368" s="1" t="s">
        <v>20</v>
      </c>
      <c r="K368" s="1" t="s">
        <v>31</v>
      </c>
      <c r="L368" s="1" t="s">
        <v>41</v>
      </c>
      <c r="M368" s="1" t="s">
        <v>23</v>
      </c>
      <c r="N368" s="3">
        <v>32</v>
      </c>
      <c r="O368" s="1" t="s">
        <v>46</v>
      </c>
      <c r="Q368" t="str">
        <v>e86eb246-4145-41da-9ac4-8995b3455372</v>
      </c>
    </row>
    <row r="369" spans="1:17" ht="13.8">
      <c r="A369" s="1" t="s">
        <v>413</v>
      </c>
      <c r="B369" s="1" t="s">
        <v>16</v>
      </c>
      <c r="C369" s="1" t="s">
        <v>39</v>
      </c>
      <c r="D369" s="2">
        <v>45892</v>
      </c>
      <c r="E369" s="2">
        <v>45892</v>
      </c>
      <c r="F369" s="3">
        <v>0</v>
      </c>
      <c r="G369" s="1" t="s">
        <v>48</v>
      </c>
      <c r="H369" s="1" t="s">
        <v>19</v>
      </c>
      <c r="I369" s="1"/>
      <c r="J369" s="1" t="s">
        <v>20</v>
      </c>
      <c r="K369" s="1" t="s">
        <v>31</v>
      </c>
      <c r="L369" s="1" t="s">
        <v>44</v>
      </c>
      <c r="M369" s="1" t="s">
        <v>36</v>
      </c>
      <c r="N369" s="3">
        <v>88</v>
      </c>
      <c r="O369" s="1" t="s">
        <v>46</v>
      </c>
      <c r="Q369" t="str">
        <v>af08f166-1aeb-42da-b95a-a8a3cdf252d8</v>
      </c>
    </row>
    <row r="370" spans="1:17" ht="13.8">
      <c r="A370" s="1" t="s">
        <v>414</v>
      </c>
      <c r="B370" s="1" t="s">
        <v>16</v>
      </c>
      <c r="C370" s="1" t="s">
        <v>39</v>
      </c>
      <c r="D370" s="2">
        <v>45855</v>
      </c>
      <c r="E370" s="2">
        <v>45855</v>
      </c>
      <c r="F370" s="3">
        <v>0</v>
      </c>
      <c r="G370" s="1" t="s">
        <v>18</v>
      </c>
      <c r="H370" s="1" t="s">
        <v>19</v>
      </c>
      <c r="I370" s="1"/>
      <c r="J370" s="1" t="s">
        <v>20</v>
      </c>
      <c r="K370" s="1" t="s">
        <v>21</v>
      </c>
      <c r="L370" s="1" t="s">
        <v>41</v>
      </c>
      <c r="M370" s="1" t="s">
        <v>32</v>
      </c>
      <c r="N370" s="3">
        <v>74</v>
      </c>
      <c r="O370" s="1" t="s">
        <v>24</v>
      </c>
      <c r="Q370" t="str">
        <v>80bf216e-3ba9-4668-b9d9-46b5107e5c3d</v>
      </c>
    </row>
    <row r="371" spans="1:17" ht="13.8">
      <c r="A371" s="1" t="s">
        <v>415</v>
      </c>
      <c r="B371" s="1" t="s">
        <v>51</v>
      </c>
      <c r="C371" s="1" t="s">
        <v>17</v>
      </c>
      <c r="D371" s="2">
        <v>45733</v>
      </c>
      <c r="E371" s="2">
        <v>45835</v>
      </c>
      <c r="F371" s="3">
        <v>3319</v>
      </c>
      <c r="G371" s="1" t="s">
        <v>18</v>
      </c>
      <c r="H371" s="1" t="s">
        <v>29</v>
      </c>
      <c r="I371" s="2">
        <v>45923</v>
      </c>
      <c r="J371" s="1" t="s">
        <v>20</v>
      </c>
      <c r="K371" s="1" t="s">
        <v>31</v>
      </c>
      <c r="L371" s="1" t="s">
        <v>22</v>
      </c>
      <c r="M371" s="1" t="s">
        <v>36</v>
      </c>
      <c r="N371" s="3">
        <v>80</v>
      </c>
      <c r="O371" s="1" t="s">
        <v>46</v>
      </c>
      <c r="Q371" t="str">
        <v>38dbd019-a08c-444c-926a-a93fab528fd3</v>
      </c>
    </row>
    <row r="372" spans="1:17" ht="13.8">
      <c r="A372" s="1" t="s">
        <v>416</v>
      </c>
      <c r="B372" s="1" t="s">
        <v>16</v>
      </c>
      <c r="C372" s="1" t="s">
        <v>39</v>
      </c>
      <c r="D372" s="2">
        <v>45918</v>
      </c>
      <c r="E372" s="2">
        <v>45918</v>
      </c>
      <c r="F372" s="3">
        <v>0</v>
      </c>
      <c r="G372" s="1" t="s">
        <v>34</v>
      </c>
      <c r="H372" s="1" t="s">
        <v>49</v>
      </c>
      <c r="I372" s="1"/>
      <c r="J372" s="1" t="s">
        <v>20</v>
      </c>
      <c r="K372" s="1" t="s">
        <v>40</v>
      </c>
      <c r="L372" s="1" t="s">
        <v>41</v>
      </c>
      <c r="M372" s="1" t="s">
        <v>45</v>
      </c>
      <c r="N372" s="3">
        <v>78</v>
      </c>
      <c r="O372" s="1" t="s">
        <v>24</v>
      </c>
      <c r="Q372" t="str">
        <v>674d2840-b910-4b76-a7be-5680c5e1c45c</v>
      </c>
    </row>
    <row r="373" spans="1:17" ht="13.8">
      <c r="A373" s="1" t="s">
        <v>417</v>
      </c>
      <c r="B373" s="1" t="s">
        <v>51</v>
      </c>
      <c r="C373" s="1" t="s">
        <v>17</v>
      </c>
      <c r="D373" s="2">
        <v>45760</v>
      </c>
      <c r="E373" s="2">
        <v>45715</v>
      </c>
      <c r="F373" s="3">
        <v>3061</v>
      </c>
      <c r="G373" s="1" t="s">
        <v>18</v>
      </c>
      <c r="H373" s="1" t="s">
        <v>19</v>
      </c>
      <c r="I373" s="2">
        <v>45800</v>
      </c>
      <c r="J373" s="1" t="s">
        <v>20</v>
      </c>
      <c r="K373" s="1" t="s">
        <v>40</v>
      </c>
      <c r="L373" s="1" t="s">
        <v>44</v>
      </c>
      <c r="M373" s="1" t="s">
        <v>36</v>
      </c>
      <c r="N373" s="3">
        <v>81</v>
      </c>
      <c r="O373" s="1" t="s">
        <v>46</v>
      </c>
      <c r="Q373" t="str">
        <v>e67e2a1d-57c2-4ef3-9507-c2be97a2f47f</v>
      </c>
    </row>
    <row r="374" spans="1:17" ht="13.8">
      <c r="A374" s="1" t="s">
        <v>418</v>
      </c>
      <c r="B374" s="1" t="s">
        <v>51</v>
      </c>
      <c r="C374" s="1" t="s">
        <v>17</v>
      </c>
      <c r="D374" s="2">
        <v>45881</v>
      </c>
      <c r="E374" s="2">
        <v>45728</v>
      </c>
      <c r="F374" s="3">
        <v>2225</v>
      </c>
      <c r="G374" s="1" t="s">
        <v>34</v>
      </c>
      <c r="H374" s="1" t="s">
        <v>49</v>
      </c>
      <c r="I374" s="2">
        <v>45828</v>
      </c>
      <c r="J374" s="1" t="s">
        <v>20</v>
      </c>
      <c r="K374" s="1" t="s">
        <v>40</v>
      </c>
      <c r="L374" s="1" t="s">
        <v>27</v>
      </c>
      <c r="M374" s="1" t="s">
        <v>32</v>
      </c>
      <c r="N374" s="3">
        <v>47</v>
      </c>
      <c r="O374" s="1" t="s">
        <v>46</v>
      </c>
      <c r="Q374" t="str">
        <v>ea6ab914-70df-4a0e-90dc-2fcc79602da5</v>
      </c>
    </row>
    <row r="375" spans="1:17" ht="13.8">
      <c r="A375" s="1" t="s">
        <v>419</v>
      </c>
      <c r="B375" s="1" t="s">
        <v>16</v>
      </c>
      <c r="C375" s="1" t="s">
        <v>39</v>
      </c>
      <c r="D375" s="2">
        <v>45928</v>
      </c>
      <c r="E375" s="2">
        <v>45928</v>
      </c>
      <c r="F375" s="3">
        <v>0</v>
      </c>
      <c r="G375" s="1" t="s">
        <v>18</v>
      </c>
      <c r="H375" s="1" t="s">
        <v>19</v>
      </c>
      <c r="I375" s="1"/>
      <c r="J375" s="1" t="s">
        <v>30</v>
      </c>
      <c r="K375" s="1" t="s">
        <v>43</v>
      </c>
      <c r="L375" s="1" t="s">
        <v>44</v>
      </c>
      <c r="M375" s="1" t="s">
        <v>32</v>
      </c>
      <c r="N375" s="3">
        <v>58</v>
      </c>
      <c r="O375" s="1" t="s">
        <v>52</v>
      </c>
      <c r="Q375" t="str">
        <v>39889909-f24d-495d-8280-4b96f03e582f</v>
      </c>
    </row>
    <row r="376" spans="1:17" ht="13.8">
      <c r="A376" s="1" t="s">
        <v>420</v>
      </c>
      <c r="B376" s="1" t="s">
        <v>16</v>
      </c>
      <c r="C376" s="1" t="s">
        <v>27</v>
      </c>
      <c r="D376" s="2">
        <v>45921</v>
      </c>
      <c r="E376" s="2">
        <v>45733</v>
      </c>
      <c r="F376" s="3">
        <v>0</v>
      </c>
      <c r="G376" s="1" t="s">
        <v>48</v>
      </c>
      <c r="H376" s="1" t="s">
        <v>19</v>
      </c>
      <c r="I376" s="1"/>
      <c r="J376" s="1" t="s">
        <v>20</v>
      </c>
      <c r="K376" s="1" t="s">
        <v>40</v>
      </c>
      <c r="L376" s="1" t="s">
        <v>27</v>
      </c>
      <c r="M376" s="1" t="s">
        <v>45</v>
      </c>
      <c r="N376" s="3">
        <v>76</v>
      </c>
      <c r="O376" s="1" t="s">
        <v>52</v>
      </c>
      <c r="Q376" t="str">
        <v>88fa21a1-5b4c-4331-8669-a71419c593c8</v>
      </c>
    </row>
    <row r="377" spans="1:17" ht="13.8">
      <c r="A377" s="1" t="s">
        <v>421</v>
      </c>
      <c r="B377" s="1" t="s">
        <v>38</v>
      </c>
      <c r="C377" s="1" t="s">
        <v>17</v>
      </c>
      <c r="D377" s="4">
        <v>45943</v>
      </c>
      <c r="E377" s="2">
        <v>45825</v>
      </c>
      <c r="F377" s="3">
        <v>3504</v>
      </c>
      <c r="G377" s="1" t="s">
        <v>18</v>
      </c>
      <c r="H377" s="1" t="s">
        <v>19</v>
      </c>
      <c r="I377" s="2">
        <v>45817</v>
      </c>
      <c r="J377" s="1" t="s">
        <v>30</v>
      </c>
      <c r="K377" s="1" t="s">
        <v>31</v>
      </c>
      <c r="L377" s="1" t="s">
        <v>22</v>
      </c>
      <c r="M377" s="1" t="s">
        <v>36</v>
      </c>
      <c r="N377" s="3">
        <v>48</v>
      </c>
      <c r="O377" s="1" t="s">
        <v>46</v>
      </c>
      <c r="Q377" t="str">
        <v>ab5166a6-ea7d-4473-89df-46ffec1ecaaa</v>
      </c>
    </row>
    <row r="378" spans="1:17" ht="13.8">
      <c r="A378" s="1" t="s">
        <v>422</v>
      </c>
      <c r="B378" s="1" t="s">
        <v>26</v>
      </c>
      <c r="C378" s="1" t="s">
        <v>17</v>
      </c>
      <c r="D378" s="2">
        <v>45835</v>
      </c>
      <c r="E378" s="2">
        <v>45869</v>
      </c>
      <c r="F378" s="3">
        <v>2511</v>
      </c>
      <c r="G378" s="1" t="s">
        <v>18</v>
      </c>
      <c r="H378" s="1" t="s">
        <v>49</v>
      </c>
      <c r="I378" s="2">
        <v>45924</v>
      </c>
      <c r="J378" s="1" t="s">
        <v>20</v>
      </c>
      <c r="K378" s="1" t="s">
        <v>21</v>
      </c>
      <c r="L378" s="1" t="s">
        <v>44</v>
      </c>
      <c r="M378" s="1" t="s">
        <v>32</v>
      </c>
      <c r="N378" s="3">
        <v>33</v>
      </c>
      <c r="O378" s="1" t="s">
        <v>24</v>
      </c>
      <c r="Q378" t="str">
        <v>e04e15ed-9ac9-4178-b2e6-202122a3b49a</v>
      </c>
    </row>
    <row r="379" spans="1:17" ht="13.8">
      <c r="A379" s="1" t="s">
        <v>423</v>
      </c>
      <c r="B379" s="1" t="s">
        <v>51</v>
      </c>
      <c r="C379" s="1" t="s">
        <v>27</v>
      </c>
      <c r="D379" s="2">
        <v>45770</v>
      </c>
      <c r="E379" s="2">
        <v>45765</v>
      </c>
      <c r="F379" s="3">
        <v>0</v>
      </c>
      <c r="G379" s="1" t="s">
        <v>28</v>
      </c>
      <c r="H379" s="1" t="s">
        <v>19</v>
      </c>
      <c r="I379" s="1"/>
      <c r="J379" s="1" t="s">
        <v>20</v>
      </c>
      <c r="K379" s="1" t="s">
        <v>21</v>
      </c>
      <c r="L379" s="1" t="s">
        <v>44</v>
      </c>
      <c r="M379" s="1" t="s">
        <v>36</v>
      </c>
      <c r="N379" s="3">
        <v>47</v>
      </c>
      <c r="O379" s="1" t="s">
        <v>52</v>
      </c>
      <c r="Q379" t="str">
        <v>b82ff6c3-b0e1-458f-a5dd-a4b0351f1eb7</v>
      </c>
    </row>
    <row r="380" spans="1:17" ht="13.8">
      <c r="A380" s="1" t="s">
        <v>424</v>
      </c>
      <c r="B380" s="1" t="s">
        <v>16</v>
      </c>
      <c r="C380" s="1" t="s">
        <v>17</v>
      </c>
      <c r="D380" s="2">
        <v>45907</v>
      </c>
      <c r="E380" s="2">
        <v>45705</v>
      </c>
      <c r="F380" s="3">
        <v>2158</v>
      </c>
      <c r="G380" s="1" t="s">
        <v>28</v>
      </c>
      <c r="H380" s="1" t="s">
        <v>49</v>
      </c>
      <c r="I380" s="2">
        <v>45688</v>
      </c>
      <c r="J380" s="1" t="s">
        <v>20</v>
      </c>
      <c r="K380" s="1" t="s">
        <v>43</v>
      </c>
      <c r="L380" s="1" t="s">
        <v>44</v>
      </c>
      <c r="M380" s="1" t="s">
        <v>45</v>
      </c>
      <c r="N380" s="3">
        <v>90</v>
      </c>
      <c r="O380" s="1" t="s">
        <v>24</v>
      </c>
      <c r="Q380" t="str">
        <v>2b055a7a-40b6-454a-a29b-1d923c4563ae</v>
      </c>
    </row>
    <row r="381" spans="1:17" ht="13.8">
      <c r="A381" s="1" t="s">
        <v>425</v>
      </c>
      <c r="B381" s="1" t="s">
        <v>38</v>
      </c>
      <c r="C381" s="1" t="s">
        <v>17</v>
      </c>
      <c r="D381" s="2">
        <v>45715</v>
      </c>
      <c r="E381" s="2">
        <v>45730</v>
      </c>
      <c r="F381" s="3">
        <v>4567</v>
      </c>
      <c r="G381" s="1" t="s">
        <v>48</v>
      </c>
      <c r="H381" s="1" t="s">
        <v>29</v>
      </c>
      <c r="I381" s="2">
        <v>45749</v>
      </c>
      <c r="J381" s="1" t="s">
        <v>20</v>
      </c>
      <c r="K381" s="1" t="s">
        <v>31</v>
      </c>
      <c r="L381" s="1" t="s">
        <v>41</v>
      </c>
      <c r="M381" s="1" t="s">
        <v>23</v>
      </c>
      <c r="N381" s="3">
        <v>85</v>
      </c>
      <c r="O381" s="1" t="s">
        <v>46</v>
      </c>
      <c r="Q381" t="str">
        <v>e1470b4d-b2d9-4a5e-933e-9f18fa3dca30</v>
      </c>
    </row>
    <row r="382" spans="1:17" ht="13.8">
      <c r="A382" s="1" t="s">
        <v>426</v>
      </c>
      <c r="B382" s="1" t="s">
        <v>16</v>
      </c>
      <c r="C382" s="1" t="s">
        <v>27</v>
      </c>
      <c r="D382" s="2">
        <v>45793</v>
      </c>
      <c r="E382" s="2">
        <v>45761</v>
      </c>
      <c r="F382" s="3">
        <v>0</v>
      </c>
      <c r="G382" s="1" t="s">
        <v>34</v>
      </c>
      <c r="H382" s="1" t="s">
        <v>49</v>
      </c>
      <c r="I382" s="1"/>
      <c r="J382" s="1" t="s">
        <v>30</v>
      </c>
      <c r="K382" s="1" t="s">
        <v>31</v>
      </c>
      <c r="L382" s="1" t="s">
        <v>27</v>
      </c>
      <c r="M382" s="1" t="s">
        <v>36</v>
      </c>
      <c r="N382" s="3">
        <v>94</v>
      </c>
      <c r="O382" s="1" t="s">
        <v>46</v>
      </c>
      <c r="Q382" t="str">
        <v>7574ed70-26f8-41f6-8adb-416ebfe45fbb</v>
      </c>
    </row>
    <row r="383" spans="1:17" ht="13.8">
      <c r="A383" s="1" t="s">
        <v>427</v>
      </c>
      <c r="B383" s="1" t="s">
        <v>26</v>
      </c>
      <c r="C383" s="1" t="s">
        <v>27</v>
      </c>
      <c r="D383" s="2">
        <v>45915</v>
      </c>
      <c r="E383" s="2">
        <v>45826</v>
      </c>
      <c r="F383" s="3">
        <v>0</v>
      </c>
      <c r="G383" s="1" t="s">
        <v>48</v>
      </c>
      <c r="H383" s="1" t="s">
        <v>49</v>
      </c>
      <c r="I383" s="1"/>
      <c r="J383" s="1" t="s">
        <v>30</v>
      </c>
      <c r="K383" s="1" t="s">
        <v>40</v>
      </c>
      <c r="L383" s="1" t="s">
        <v>44</v>
      </c>
      <c r="M383" s="1" t="s">
        <v>45</v>
      </c>
      <c r="N383" s="3">
        <v>32</v>
      </c>
      <c r="O383" s="1" t="s">
        <v>24</v>
      </c>
      <c r="Q383" t="str">
        <v>0f05d1ae-eb15-43cb-8e23-72b4cbb548c1</v>
      </c>
    </row>
    <row r="384" spans="1:17" ht="13.8">
      <c r="A384" s="1" t="s">
        <v>428</v>
      </c>
      <c r="B384" s="1" t="s">
        <v>26</v>
      </c>
      <c r="C384" s="1" t="s">
        <v>27</v>
      </c>
      <c r="D384" s="2">
        <v>45862</v>
      </c>
      <c r="E384" s="2">
        <v>45691</v>
      </c>
      <c r="F384" s="3">
        <v>0</v>
      </c>
      <c r="G384" s="1" t="s">
        <v>34</v>
      </c>
      <c r="H384" s="1" t="s">
        <v>35</v>
      </c>
      <c r="I384" s="1"/>
      <c r="J384" s="1" t="s">
        <v>30</v>
      </c>
      <c r="K384" s="1" t="s">
        <v>43</v>
      </c>
      <c r="L384" s="1" t="s">
        <v>27</v>
      </c>
      <c r="M384" s="1" t="s">
        <v>45</v>
      </c>
      <c r="N384" s="3">
        <v>79</v>
      </c>
      <c r="O384" s="1" t="s">
        <v>24</v>
      </c>
      <c r="Q384" t="str">
        <v>4e5ccec3-d8e7-45fb-96da-4ee989247cc1</v>
      </c>
    </row>
    <row r="385" spans="1:17" ht="13.8">
      <c r="A385" s="1" t="s">
        <v>429</v>
      </c>
      <c r="B385" s="1" t="s">
        <v>51</v>
      </c>
      <c r="C385" s="1" t="s">
        <v>27</v>
      </c>
      <c r="D385" s="2">
        <v>45890</v>
      </c>
      <c r="E385" s="2">
        <v>45686</v>
      </c>
      <c r="F385" s="3">
        <v>0</v>
      </c>
      <c r="G385" s="1" t="s">
        <v>34</v>
      </c>
      <c r="H385" s="1" t="s">
        <v>35</v>
      </c>
      <c r="I385" s="1"/>
      <c r="J385" s="1" t="s">
        <v>30</v>
      </c>
      <c r="K385" s="1" t="s">
        <v>31</v>
      </c>
      <c r="L385" s="1" t="s">
        <v>22</v>
      </c>
      <c r="M385" s="1" t="s">
        <v>36</v>
      </c>
      <c r="N385" s="3">
        <v>43</v>
      </c>
      <c r="O385" s="1" t="s">
        <v>46</v>
      </c>
      <c r="Q385" t="str">
        <v>5a16a700-0255-40c2-b429-6ca431a7b571</v>
      </c>
    </row>
    <row r="386" spans="1:17" ht="13.8">
      <c r="A386" s="1" t="s">
        <v>430</v>
      </c>
      <c r="B386" s="1" t="s">
        <v>16</v>
      </c>
      <c r="C386" s="1" t="s">
        <v>17</v>
      </c>
      <c r="D386" s="2">
        <v>45936</v>
      </c>
      <c r="E386" s="2">
        <v>45870</v>
      </c>
      <c r="F386" s="3">
        <v>4972</v>
      </c>
      <c r="G386" s="1" t="s">
        <v>18</v>
      </c>
      <c r="H386" s="1" t="s">
        <v>19</v>
      </c>
      <c r="I386" s="2">
        <v>45925</v>
      </c>
      <c r="J386" s="1" t="s">
        <v>20</v>
      </c>
      <c r="K386" s="1" t="s">
        <v>31</v>
      </c>
      <c r="L386" s="1" t="s">
        <v>41</v>
      </c>
      <c r="M386" s="1" t="s">
        <v>45</v>
      </c>
      <c r="N386" s="3">
        <v>30</v>
      </c>
      <c r="O386" s="1" t="s">
        <v>24</v>
      </c>
      <c r="Q386" t="str">
        <v>1a62f410-0b4a-4607-9ae7-3d99ba44f3f7</v>
      </c>
    </row>
    <row r="387" spans="1:17" ht="13.8">
      <c r="A387" s="1" t="s">
        <v>431</v>
      </c>
      <c r="B387" s="1" t="s">
        <v>51</v>
      </c>
      <c r="C387" s="1" t="s">
        <v>39</v>
      </c>
      <c r="D387" s="2">
        <v>45829</v>
      </c>
      <c r="E387" s="2">
        <v>45829</v>
      </c>
      <c r="F387" s="3">
        <v>0</v>
      </c>
      <c r="G387" s="1" t="s">
        <v>34</v>
      </c>
      <c r="H387" s="1" t="s">
        <v>29</v>
      </c>
      <c r="I387" s="1"/>
      <c r="J387" s="1" t="s">
        <v>30</v>
      </c>
      <c r="K387" s="1" t="s">
        <v>40</v>
      </c>
      <c r="L387" s="1" t="s">
        <v>41</v>
      </c>
      <c r="M387" s="1" t="s">
        <v>45</v>
      </c>
      <c r="N387" s="3">
        <v>83</v>
      </c>
      <c r="O387" s="1" t="s">
        <v>24</v>
      </c>
      <c r="Q387" t="str">
        <v>50ef4bca-563f-4bfe-8590-b83532eb8175</v>
      </c>
    </row>
    <row r="388" spans="1:17" ht="13.8">
      <c r="A388" s="1" t="s">
        <v>432</v>
      </c>
      <c r="B388" s="1" t="s">
        <v>51</v>
      </c>
      <c r="C388" s="1" t="s">
        <v>39</v>
      </c>
      <c r="D388" s="2">
        <v>45750</v>
      </c>
      <c r="E388" s="2">
        <v>45750</v>
      </c>
      <c r="F388" s="3">
        <v>0</v>
      </c>
      <c r="G388" s="1" t="s">
        <v>34</v>
      </c>
      <c r="H388" s="1" t="s">
        <v>49</v>
      </c>
      <c r="I388" s="1"/>
      <c r="J388" s="1" t="s">
        <v>30</v>
      </c>
      <c r="K388" s="1" t="s">
        <v>40</v>
      </c>
      <c r="L388" s="1" t="s">
        <v>44</v>
      </c>
      <c r="M388" s="1" t="s">
        <v>36</v>
      </c>
      <c r="N388" s="3">
        <v>69</v>
      </c>
      <c r="O388" s="1" t="s">
        <v>52</v>
      </c>
      <c r="Q388" t="str">
        <v>b34043e3-b04d-410e-9ae7-418afb76d2f3</v>
      </c>
    </row>
    <row r="389" spans="1:17" ht="13.8">
      <c r="A389" s="1" t="s">
        <v>433</v>
      </c>
      <c r="B389" s="1" t="s">
        <v>26</v>
      </c>
      <c r="C389" s="1" t="s">
        <v>39</v>
      </c>
      <c r="D389" s="2">
        <v>45692</v>
      </c>
      <c r="E389" s="2">
        <v>45692</v>
      </c>
      <c r="F389" s="3">
        <v>0</v>
      </c>
      <c r="G389" s="1" t="s">
        <v>48</v>
      </c>
      <c r="H389" s="1" t="s">
        <v>35</v>
      </c>
      <c r="I389" s="1"/>
      <c r="J389" s="1" t="s">
        <v>30</v>
      </c>
      <c r="K389" s="1" t="s">
        <v>40</v>
      </c>
      <c r="L389" s="1" t="s">
        <v>41</v>
      </c>
      <c r="M389" s="1" t="s">
        <v>32</v>
      </c>
      <c r="N389" s="3">
        <v>58</v>
      </c>
      <c r="O389" s="1" t="s">
        <v>46</v>
      </c>
      <c r="Q389" t="str">
        <v>9a36e236-f336-4528-88d5-4ef9ba432a98</v>
      </c>
    </row>
    <row r="390" spans="1:17" ht="13.8">
      <c r="A390" s="1" t="s">
        <v>434</v>
      </c>
      <c r="B390" s="1" t="s">
        <v>16</v>
      </c>
      <c r="C390" s="1" t="s">
        <v>27</v>
      </c>
      <c r="D390" s="2">
        <v>45932</v>
      </c>
      <c r="E390" s="2">
        <v>45893</v>
      </c>
      <c r="F390" s="3">
        <v>0</v>
      </c>
      <c r="G390" s="1" t="s">
        <v>18</v>
      </c>
      <c r="H390" s="1" t="s">
        <v>49</v>
      </c>
      <c r="I390" s="1"/>
      <c r="J390" s="1" t="s">
        <v>20</v>
      </c>
      <c r="K390" s="1" t="s">
        <v>40</v>
      </c>
      <c r="L390" s="1" t="s">
        <v>41</v>
      </c>
      <c r="M390" s="1" t="s">
        <v>45</v>
      </c>
      <c r="N390" s="3">
        <v>89</v>
      </c>
      <c r="O390" s="1" t="s">
        <v>46</v>
      </c>
      <c r="Q390" t="str">
        <v>f8abbfdd-0d8d-4d5a-9183-31531d445cfe</v>
      </c>
    </row>
    <row r="391" spans="1:17" ht="13.8">
      <c r="A391" s="1" t="s">
        <v>435</v>
      </c>
      <c r="B391" s="1" t="s">
        <v>38</v>
      </c>
      <c r="C391" s="1" t="s">
        <v>27</v>
      </c>
      <c r="D391" s="2">
        <v>45822</v>
      </c>
      <c r="E391" s="2">
        <v>45808</v>
      </c>
      <c r="F391" s="3">
        <v>0</v>
      </c>
      <c r="G391" s="1" t="s">
        <v>48</v>
      </c>
      <c r="H391" s="1" t="s">
        <v>49</v>
      </c>
      <c r="I391" s="1"/>
      <c r="J391" s="1" t="s">
        <v>20</v>
      </c>
      <c r="K391" s="1" t="s">
        <v>21</v>
      </c>
      <c r="L391" s="1" t="s">
        <v>27</v>
      </c>
      <c r="M391" s="1" t="s">
        <v>36</v>
      </c>
      <c r="N391" s="3">
        <v>46</v>
      </c>
      <c r="O391" s="1" t="s">
        <v>46</v>
      </c>
      <c r="Q391" t="str">
        <v>ea8e9d9e-8b26-4e85-a229-908c977c9abb</v>
      </c>
    </row>
    <row r="392" spans="1:17" ht="13.8">
      <c r="A392" s="1" t="s">
        <v>436</v>
      </c>
      <c r="B392" s="1" t="s">
        <v>38</v>
      </c>
      <c r="C392" s="1" t="s">
        <v>39</v>
      </c>
      <c r="D392" s="2">
        <v>45859</v>
      </c>
      <c r="E392" s="2">
        <v>45859</v>
      </c>
      <c r="F392" s="3">
        <v>0</v>
      </c>
      <c r="G392" s="1" t="s">
        <v>18</v>
      </c>
      <c r="H392" s="1" t="s">
        <v>19</v>
      </c>
      <c r="I392" s="1"/>
      <c r="J392" s="1" t="s">
        <v>30</v>
      </c>
      <c r="K392" s="1" t="s">
        <v>43</v>
      </c>
      <c r="L392" s="1" t="s">
        <v>22</v>
      </c>
      <c r="M392" s="1" t="s">
        <v>23</v>
      </c>
      <c r="N392" s="3">
        <v>77</v>
      </c>
      <c r="O392" s="1" t="s">
        <v>24</v>
      </c>
      <c r="Q392" t="str">
        <v>3183b411-97aa-4fdb-9a49-7b0c3fc855e7</v>
      </c>
    </row>
    <row r="393" spans="1:17" ht="13.8">
      <c r="A393" s="1" t="s">
        <v>437</v>
      </c>
      <c r="B393" s="1" t="s">
        <v>16</v>
      </c>
      <c r="C393" s="1" t="s">
        <v>17</v>
      </c>
      <c r="D393" s="2">
        <v>45835</v>
      </c>
      <c r="E393" s="2">
        <v>45786</v>
      </c>
      <c r="F393" s="3">
        <v>3940</v>
      </c>
      <c r="G393" s="1" t="s">
        <v>48</v>
      </c>
      <c r="H393" s="1" t="s">
        <v>49</v>
      </c>
      <c r="I393" s="2">
        <v>45760</v>
      </c>
      <c r="J393" s="1" t="s">
        <v>30</v>
      </c>
      <c r="K393" s="1" t="s">
        <v>40</v>
      </c>
      <c r="L393" s="1" t="s">
        <v>41</v>
      </c>
      <c r="M393" s="1" t="s">
        <v>36</v>
      </c>
      <c r="N393" s="3">
        <v>83</v>
      </c>
      <c r="O393" s="1" t="s">
        <v>24</v>
      </c>
      <c r="Q393" t="str">
        <v>d3d55b62-1433-4ca2-b800-62b9d6d03ffd</v>
      </c>
    </row>
    <row r="394" spans="1:17" ht="13.8">
      <c r="A394" s="1" t="s">
        <v>438</v>
      </c>
      <c r="B394" s="1" t="s">
        <v>38</v>
      </c>
      <c r="C394" s="1" t="s">
        <v>17</v>
      </c>
      <c r="D394" s="2">
        <v>45788</v>
      </c>
      <c r="E394" s="2">
        <v>45916</v>
      </c>
      <c r="F394" s="3">
        <v>3948</v>
      </c>
      <c r="G394" s="1" t="s">
        <v>34</v>
      </c>
      <c r="H394" s="1" t="s">
        <v>19</v>
      </c>
      <c r="I394" s="2">
        <v>45886</v>
      </c>
      <c r="J394" s="1" t="s">
        <v>20</v>
      </c>
      <c r="K394" s="1" t="s">
        <v>31</v>
      </c>
      <c r="L394" s="1" t="s">
        <v>27</v>
      </c>
      <c r="M394" s="1" t="s">
        <v>32</v>
      </c>
      <c r="N394" s="3">
        <v>60</v>
      </c>
      <c r="O394" s="1" t="s">
        <v>46</v>
      </c>
      <c r="Q394" t="str">
        <v>d45769c8-e53d-481f-8992-7b727952e224</v>
      </c>
    </row>
    <row r="395" spans="1:17" ht="13.8">
      <c r="A395" s="1" t="s">
        <v>439</v>
      </c>
      <c r="B395" s="1" t="s">
        <v>26</v>
      </c>
      <c r="C395" s="1" t="s">
        <v>17</v>
      </c>
      <c r="D395" s="2">
        <v>45731</v>
      </c>
      <c r="E395" s="2">
        <v>45751</v>
      </c>
      <c r="F395" s="3">
        <v>4027</v>
      </c>
      <c r="G395" s="1" t="s">
        <v>34</v>
      </c>
      <c r="H395" s="1" t="s">
        <v>35</v>
      </c>
      <c r="I395" s="2">
        <v>45898</v>
      </c>
      <c r="J395" s="1" t="s">
        <v>20</v>
      </c>
      <c r="K395" s="1" t="s">
        <v>31</v>
      </c>
      <c r="L395" s="1" t="s">
        <v>41</v>
      </c>
      <c r="M395" s="1" t="s">
        <v>23</v>
      </c>
      <c r="N395" s="3">
        <v>32</v>
      </c>
      <c r="O395" s="1" t="s">
        <v>24</v>
      </c>
      <c r="Q395" t="str">
        <v>c6137ac9-23b4-4a6f-8c58-7633cbcde7cb</v>
      </c>
    </row>
    <row r="396" spans="1:17" ht="13.8">
      <c r="A396" s="1" t="s">
        <v>440</v>
      </c>
      <c r="B396" s="1" t="s">
        <v>38</v>
      </c>
      <c r="C396" s="1" t="s">
        <v>17</v>
      </c>
      <c r="D396" s="2">
        <v>45706</v>
      </c>
      <c r="E396" s="2">
        <v>45936</v>
      </c>
      <c r="F396" s="3">
        <v>3638</v>
      </c>
      <c r="G396" s="1" t="s">
        <v>28</v>
      </c>
      <c r="H396" s="1" t="s">
        <v>35</v>
      </c>
      <c r="I396" s="2">
        <v>45767</v>
      </c>
      <c r="J396" s="1" t="s">
        <v>30</v>
      </c>
      <c r="K396" s="1" t="s">
        <v>43</v>
      </c>
      <c r="L396" s="1" t="s">
        <v>22</v>
      </c>
      <c r="M396" s="1" t="s">
        <v>45</v>
      </c>
      <c r="N396" s="3">
        <v>46</v>
      </c>
      <c r="O396" s="1" t="s">
        <v>52</v>
      </c>
      <c r="Q396" t="str">
        <v>0df1a3f8-baa3-4203-aa68-2a7dbf9a9734</v>
      </c>
    </row>
    <row r="397" spans="1:17" ht="13.8">
      <c r="A397" s="1" t="s">
        <v>441</v>
      </c>
      <c r="B397" s="1" t="s">
        <v>16</v>
      </c>
      <c r="C397" s="1" t="s">
        <v>39</v>
      </c>
      <c r="D397" s="2">
        <v>45889</v>
      </c>
      <c r="E397" s="2">
        <v>45889</v>
      </c>
      <c r="F397" s="3">
        <v>0</v>
      </c>
      <c r="G397" s="1" t="s">
        <v>48</v>
      </c>
      <c r="H397" s="1" t="s">
        <v>49</v>
      </c>
      <c r="I397" s="1"/>
      <c r="J397" s="1" t="s">
        <v>30</v>
      </c>
      <c r="K397" s="1" t="s">
        <v>31</v>
      </c>
      <c r="L397" s="1" t="s">
        <v>41</v>
      </c>
      <c r="M397" s="1" t="s">
        <v>45</v>
      </c>
      <c r="N397" s="3">
        <v>75</v>
      </c>
      <c r="O397" s="1" t="s">
        <v>52</v>
      </c>
      <c r="Q397" t="str">
        <v>0c671df2-a836-4fe4-891b-8ba4c67c9285</v>
      </c>
    </row>
    <row r="398" spans="1:17" ht="13.8">
      <c r="A398" s="1" t="s">
        <v>442</v>
      </c>
      <c r="B398" s="1" t="s">
        <v>51</v>
      </c>
      <c r="C398" s="1" t="s">
        <v>39</v>
      </c>
      <c r="D398" s="4">
        <v>45946</v>
      </c>
      <c r="E398" s="4">
        <v>45946</v>
      </c>
      <c r="F398" s="3">
        <v>0</v>
      </c>
      <c r="G398" s="1" t="s">
        <v>18</v>
      </c>
      <c r="H398" s="1" t="s">
        <v>35</v>
      </c>
      <c r="I398" s="1"/>
      <c r="J398" s="1" t="s">
        <v>20</v>
      </c>
      <c r="K398" s="1" t="s">
        <v>31</v>
      </c>
      <c r="L398" s="1" t="s">
        <v>41</v>
      </c>
      <c r="M398" s="1" t="s">
        <v>32</v>
      </c>
      <c r="N398" s="3">
        <v>94</v>
      </c>
      <c r="O398" s="1" t="s">
        <v>24</v>
      </c>
      <c r="Q398" t="str">
        <v>ba7ab0bf-97e4-4e4e-b685-745c32388728</v>
      </c>
    </row>
    <row r="399" spans="1:17" ht="13.8">
      <c r="A399" s="1" t="s">
        <v>443</v>
      </c>
      <c r="B399" s="1" t="s">
        <v>16</v>
      </c>
      <c r="C399" s="1" t="s">
        <v>17</v>
      </c>
      <c r="D399" s="2">
        <v>45674</v>
      </c>
      <c r="E399" s="2">
        <v>45858</v>
      </c>
      <c r="F399" s="3">
        <v>3442</v>
      </c>
      <c r="G399" s="1" t="s">
        <v>28</v>
      </c>
      <c r="H399" s="1" t="s">
        <v>35</v>
      </c>
      <c r="I399" s="2">
        <v>45920</v>
      </c>
      <c r="J399" s="1" t="s">
        <v>20</v>
      </c>
      <c r="K399" s="1" t="s">
        <v>21</v>
      </c>
      <c r="L399" s="1" t="s">
        <v>44</v>
      </c>
      <c r="M399" s="1" t="s">
        <v>32</v>
      </c>
      <c r="N399" s="3">
        <v>51</v>
      </c>
      <c r="O399" s="1" t="s">
        <v>46</v>
      </c>
      <c r="Q399" t="str">
        <v>2cf0601d-2a63-4fec-af79-1b5832db68d1</v>
      </c>
    </row>
    <row r="400" spans="1:17" ht="13.8">
      <c r="A400" s="1" t="s">
        <v>444</v>
      </c>
      <c r="B400" s="1" t="s">
        <v>26</v>
      </c>
      <c r="C400" s="1" t="s">
        <v>27</v>
      </c>
      <c r="D400" s="2">
        <v>45689</v>
      </c>
      <c r="E400" s="2">
        <v>45780</v>
      </c>
      <c r="F400" s="3">
        <v>0</v>
      </c>
      <c r="G400" s="1" t="s">
        <v>28</v>
      </c>
      <c r="H400" s="1" t="s">
        <v>35</v>
      </c>
      <c r="I400" s="1"/>
      <c r="J400" s="1" t="s">
        <v>20</v>
      </c>
      <c r="K400" s="1" t="s">
        <v>31</v>
      </c>
      <c r="L400" s="1" t="s">
        <v>22</v>
      </c>
      <c r="M400" s="1" t="s">
        <v>45</v>
      </c>
      <c r="N400" s="3">
        <v>87</v>
      </c>
      <c r="O400" s="1" t="s">
        <v>46</v>
      </c>
      <c r="Q400" t="str">
        <v>44a3acbc-9186-4835-8a84-ecf73f63aa69</v>
      </c>
    </row>
    <row r="401" spans="1:17" ht="13.8">
      <c r="A401" s="1" t="s">
        <v>445</v>
      </c>
      <c r="B401" s="1" t="s">
        <v>38</v>
      </c>
      <c r="C401" s="1" t="s">
        <v>27</v>
      </c>
      <c r="D401" s="2">
        <v>45665</v>
      </c>
      <c r="E401" s="2">
        <v>45738</v>
      </c>
      <c r="F401" s="3">
        <v>0</v>
      </c>
      <c r="G401" s="1" t="s">
        <v>28</v>
      </c>
      <c r="H401" s="1" t="s">
        <v>29</v>
      </c>
      <c r="I401" s="1"/>
      <c r="J401" s="1" t="s">
        <v>30</v>
      </c>
      <c r="K401" s="1" t="s">
        <v>21</v>
      </c>
      <c r="L401" s="1" t="s">
        <v>27</v>
      </c>
      <c r="M401" s="1" t="s">
        <v>32</v>
      </c>
      <c r="N401" s="3">
        <v>92</v>
      </c>
      <c r="O401" s="1" t="s">
        <v>52</v>
      </c>
      <c r="Q401" t="str">
        <v>c3ddc407-f8ae-4342-8fde-aab9dd75846c</v>
      </c>
    </row>
    <row r="402" spans="1:17" ht="13.8">
      <c r="A402" s="1" t="s">
        <v>446</v>
      </c>
      <c r="B402" s="1" t="s">
        <v>26</v>
      </c>
      <c r="C402" s="1" t="s">
        <v>39</v>
      </c>
      <c r="D402" s="2">
        <v>45681</v>
      </c>
      <c r="E402" s="2">
        <v>45681</v>
      </c>
      <c r="F402" s="3">
        <v>0</v>
      </c>
      <c r="G402" s="1" t="s">
        <v>48</v>
      </c>
      <c r="H402" s="1" t="s">
        <v>49</v>
      </c>
      <c r="I402" s="1"/>
      <c r="J402" s="1" t="s">
        <v>30</v>
      </c>
      <c r="K402" s="1" t="s">
        <v>43</v>
      </c>
      <c r="L402" s="1" t="s">
        <v>22</v>
      </c>
      <c r="M402" s="1" t="s">
        <v>32</v>
      </c>
      <c r="N402" s="3">
        <v>61</v>
      </c>
      <c r="O402" s="1" t="s">
        <v>46</v>
      </c>
      <c r="Q402" t="str">
        <v>d740d44b-43c7-4078-b50f-2ac7c8844d90</v>
      </c>
    </row>
    <row r="403" spans="1:17" ht="13.8">
      <c r="A403" s="1" t="s">
        <v>447</v>
      </c>
      <c r="B403" s="1" t="s">
        <v>51</v>
      </c>
      <c r="C403" s="1" t="s">
        <v>17</v>
      </c>
      <c r="D403" s="2">
        <v>45747</v>
      </c>
      <c r="E403" s="2">
        <v>45914</v>
      </c>
      <c r="F403" s="3">
        <v>4905</v>
      </c>
      <c r="G403" s="1" t="s">
        <v>18</v>
      </c>
      <c r="H403" s="1" t="s">
        <v>19</v>
      </c>
      <c r="I403" s="2">
        <v>45814</v>
      </c>
      <c r="J403" s="1" t="s">
        <v>30</v>
      </c>
      <c r="K403" s="1" t="s">
        <v>43</v>
      </c>
      <c r="L403" s="1" t="s">
        <v>22</v>
      </c>
      <c r="M403" s="1" t="s">
        <v>45</v>
      </c>
      <c r="N403" s="3">
        <v>32</v>
      </c>
      <c r="O403" s="1" t="s">
        <v>52</v>
      </c>
      <c r="Q403" t="str">
        <v>138ce4cb-cbb8-4fe7-8b97-b97edefffdc3</v>
      </c>
    </row>
    <row r="404" spans="1:17" ht="13.8">
      <c r="A404" s="1" t="s">
        <v>448</v>
      </c>
      <c r="B404" s="1" t="s">
        <v>51</v>
      </c>
      <c r="C404" s="1" t="s">
        <v>39</v>
      </c>
      <c r="D404" s="2">
        <v>45799</v>
      </c>
      <c r="E404" s="2">
        <v>45799</v>
      </c>
      <c r="F404" s="3">
        <v>0</v>
      </c>
      <c r="G404" s="1" t="s">
        <v>48</v>
      </c>
      <c r="H404" s="1" t="s">
        <v>35</v>
      </c>
      <c r="I404" s="1"/>
      <c r="J404" s="1" t="s">
        <v>20</v>
      </c>
      <c r="K404" s="1" t="s">
        <v>43</v>
      </c>
      <c r="L404" s="1" t="s">
        <v>22</v>
      </c>
      <c r="M404" s="1" t="s">
        <v>36</v>
      </c>
      <c r="N404" s="3">
        <v>34</v>
      </c>
      <c r="O404" s="1" t="s">
        <v>52</v>
      </c>
      <c r="Q404" t="str">
        <v>e7210748-8f90-45a4-b9a4-1aa621a6ee4f</v>
      </c>
    </row>
    <row r="405" spans="1:17" ht="13.8">
      <c r="A405" s="1" t="s">
        <v>449</v>
      </c>
      <c r="B405" s="1" t="s">
        <v>16</v>
      </c>
      <c r="C405" s="1" t="s">
        <v>27</v>
      </c>
      <c r="D405" s="2">
        <v>45757</v>
      </c>
      <c r="E405" s="2">
        <v>45917</v>
      </c>
      <c r="F405" s="3">
        <v>0</v>
      </c>
      <c r="G405" s="1" t="s">
        <v>48</v>
      </c>
      <c r="H405" s="1" t="s">
        <v>49</v>
      </c>
      <c r="I405" s="1"/>
      <c r="J405" s="1" t="s">
        <v>30</v>
      </c>
      <c r="K405" s="1" t="s">
        <v>43</v>
      </c>
      <c r="L405" s="1" t="s">
        <v>27</v>
      </c>
      <c r="M405" s="1" t="s">
        <v>45</v>
      </c>
      <c r="N405" s="3">
        <v>70</v>
      </c>
      <c r="O405" s="1" t="s">
        <v>46</v>
      </c>
      <c r="Q405" t="str">
        <v>cbfd1b97-6303-431b-a983-fd0c078e45d4</v>
      </c>
    </row>
    <row r="406" spans="1:17" ht="13.8">
      <c r="A406" s="1" t="s">
        <v>450</v>
      </c>
      <c r="B406" s="1" t="s">
        <v>16</v>
      </c>
      <c r="C406" s="1" t="s">
        <v>17</v>
      </c>
      <c r="D406" s="2">
        <v>45883</v>
      </c>
      <c r="E406" s="2">
        <v>45713</v>
      </c>
      <c r="F406" s="3">
        <v>4734</v>
      </c>
      <c r="G406" s="1" t="s">
        <v>28</v>
      </c>
      <c r="H406" s="1" t="s">
        <v>19</v>
      </c>
      <c r="I406" s="2">
        <v>45729</v>
      </c>
      <c r="J406" s="1" t="s">
        <v>20</v>
      </c>
      <c r="K406" s="1" t="s">
        <v>40</v>
      </c>
      <c r="L406" s="1" t="s">
        <v>27</v>
      </c>
      <c r="M406" s="1" t="s">
        <v>36</v>
      </c>
      <c r="N406" s="3">
        <v>60</v>
      </c>
      <c r="O406" s="1" t="s">
        <v>24</v>
      </c>
      <c r="Q406" t="str">
        <v>fe9d27c5-5ce2-4755-8a89-ddbfebc8a6d6</v>
      </c>
    </row>
    <row r="407" spans="1:17" ht="13.8">
      <c r="A407" s="1" t="s">
        <v>451</v>
      </c>
      <c r="B407" s="1" t="s">
        <v>38</v>
      </c>
      <c r="C407" s="1" t="s">
        <v>17</v>
      </c>
      <c r="D407" s="2">
        <v>45680</v>
      </c>
      <c r="E407" s="2">
        <v>45909</v>
      </c>
      <c r="F407" s="3">
        <v>4296</v>
      </c>
      <c r="G407" s="1" t="s">
        <v>48</v>
      </c>
      <c r="H407" s="1" t="s">
        <v>35</v>
      </c>
      <c r="I407" s="2">
        <v>45672</v>
      </c>
      <c r="J407" s="1" t="s">
        <v>30</v>
      </c>
      <c r="K407" s="1" t="s">
        <v>21</v>
      </c>
      <c r="L407" s="1" t="s">
        <v>22</v>
      </c>
      <c r="M407" s="1" t="s">
        <v>36</v>
      </c>
      <c r="N407" s="3">
        <v>79</v>
      </c>
      <c r="O407" s="1" t="s">
        <v>24</v>
      </c>
      <c r="Q407" t="str">
        <v>39e743a2-d3ce-470c-95ca-d79e4df7c340</v>
      </c>
    </row>
    <row r="408" spans="1:17" ht="13.8">
      <c r="A408" s="1" t="s">
        <v>452</v>
      </c>
      <c r="B408" s="1" t="s">
        <v>51</v>
      </c>
      <c r="C408" s="1" t="s">
        <v>27</v>
      </c>
      <c r="D408" s="2">
        <v>45795</v>
      </c>
      <c r="E408" s="2">
        <v>45715</v>
      </c>
      <c r="F408" s="3">
        <v>0</v>
      </c>
      <c r="G408" s="1" t="s">
        <v>34</v>
      </c>
      <c r="H408" s="1" t="s">
        <v>35</v>
      </c>
      <c r="I408" s="1"/>
      <c r="J408" s="1" t="s">
        <v>30</v>
      </c>
      <c r="K408" s="1" t="s">
        <v>21</v>
      </c>
      <c r="L408" s="1" t="s">
        <v>22</v>
      </c>
      <c r="M408" s="1" t="s">
        <v>36</v>
      </c>
      <c r="N408" s="3">
        <v>80</v>
      </c>
      <c r="O408" s="1" t="s">
        <v>24</v>
      </c>
      <c r="Q408" t="str">
        <v>f414a32d-ea9a-412e-9bcf-9a265d2abf4f</v>
      </c>
    </row>
    <row r="409" spans="1:17" ht="13.8">
      <c r="A409" s="1" t="s">
        <v>453</v>
      </c>
      <c r="B409" s="1" t="s">
        <v>51</v>
      </c>
      <c r="C409" s="1" t="s">
        <v>27</v>
      </c>
      <c r="D409" s="2">
        <v>45706</v>
      </c>
      <c r="E409" s="2">
        <v>45811</v>
      </c>
      <c r="F409" s="3">
        <v>0</v>
      </c>
      <c r="G409" s="1" t="s">
        <v>48</v>
      </c>
      <c r="H409" s="1" t="s">
        <v>29</v>
      </c>
      <c r="I409" s="1"/>
      <c r="J409" s="1" t="s">
        <v>30</v>
      </c>
      <c r="K409" s="1" t="s">
        <v>21</v>
      </c>
      <c r="L409" s="1" t="s">
        <v>27</v>
      </c>
      <c r="M409" s="1" t="s">
        <v>23</v>
      </c>
      <c r="N409" s="3">
        <v>91</v>
      </c>
      <c r="O409" s="1" t="s">
        <v>24</v>
      </c>
      <c r="Q409" t="str">
        <v>9edef337-caee-43dc-b839-20bd724fae58</v>
      </c>
    </row>
    <row r="410" spans="1:17" ht="13.8">
      <c r="A410" s="1" t="s">
        <v>454</v>
      </c>
      <c r="B410" s="1" t="s">
        <v>51</v>
      </c>
      <c r="C410" s="1" t="s">
        <v>27</v>
      </c>
      <c r="D410" s="2">
        <v>45939</v>
      </c>
      <c r="E410" s="2">
        <v>45907</v>
      </c>
      <c r="F410" s="3">
        <v>0</v>
      </c>
      <c r="G410" s="1" t="s">
        <v>48</v>
      </c>
      <c r="H410" s="1" t="s">
        <v>19</v>
      </c>
      <c r="I410" s="1"/>
      <c r="J410" s="1" t="s">
        <v>20</v>
      </c>
      <c r="K410" s="1" t="s">
        <v>43</v>
      </c>
      <c r="L410" s="1" t="s">
        <v>27</v>
      </c>
      <c r="M410" s="1" t="s">
        <v>23</v>
      </c>
      <c r="N410" s="3">
        <v>60</v>
      </c>
      <c r="O410" s="1" t="s">
        <v>46</v>
      </c>
      <c r="Q410" t="str">
        <v>ff8bc6b3-644a-48fb-b6f1-bd8679b9e61f</v>
      </c>
    </row>
    <row r="411" spans="1:17" ht="13.8">
      <c r="A411" s="1" t="s">
        <v>455</v>
      </c>
      <c r="B411" s="1" t="s">
        <v>16</v>
      </c>
      <c r="C411" s="1" t="s">
        <v>17</v>
      </c>
      <c r="D411" s="2">
        <v>45836</v>
      </c>
      <c r="E411" s="2">
        <v>45694</v>
      </c>
      <c r="F411" s="3">
        <v>2690</v>
      </c>
      <c r="G411" s="1" t="s">
        <v>28</v>
      </c>
      <c r="H411" s="1" t="s">
        <v>49</v>
      </c>
      <c r="I411" s="2">
        <v>45760</v>
      </c>
      <c r="J411" s="1" t="s">
        <v>20</v>
      </c>
      <c r="K411" s="1" t="s">
        <v>31</v>
      </c>
      <c r="L411" s="1" t="s">
        <v>27</v>
      </c>
      <c r="M411" s="1" t="s">
        <v>36</v>
      </c>
      <c r="N411" s="3">
        <v>64</v>
      </c>
      <c r="O411" s="1" t="s">
        <v>52</v>
      </c>
      <c r="Q411" t="str">
        <v>1f43854c-51ad-461c-9672-e93928b6e217</v>
      </c>
    </row>
    <row r="412" spans="1:17" ht="13.8">
      <c r="A412" s="1" t="s">
        <v>456</v>
      </c>
      <c r="B412" s="1" t="s">
        <v>38</v>
      </c>
      <c r="C412" s="1" t="s">
        <v>39</v>
      </c>
      <c r="D412" s="2">
        <v>45736</v>
      </c>
      <c r="E412" s="2">
        <v>45736</v>
      </c>
      <c r="F412" s="3">
        <v>0</v>
      </c>
      <c r="G412" s="1" t="s">
        <v>34</v>
      </c>
      <c r="H412" s="1" t="s">
        <v>35</v>
      </c>
      <c r="I412" s="1"/>
      <c r="J412" s="1" t="s">
        <v>30</v>
      </c>
      <c r="K412" s="1" t="s">
        <v>43</v>
      </c>
      <c r="L412" s="1" t="s">
        <v>41</v>
      </c>
      <c r="M412" s="1" t="s">
        <v>45</v>
      </c>
      <c r="N412" s="3">
        <v>31</v>
      </c>
      <c r="O412" s="1" t="s">
        <v>24</v>
      </c>
      <c r="Q412" t="str">
        <v>978ad17c-c211-403b-9838-3f3e3f0fffb7</v>
      </c>
    </row>
    <row r="413" spans="1:17" ht="13.8">
      <c r="A413" s="1" t="s">
        <v>457</v>
      </c>
      <c r="B413" s="1" t="s">
        <v>51</v>
      </c>
      <c r="C413" s="1" t="s">
        <v>17</v>
      </c>
      <c r="D413" s="2">
        <v>45749</v>
      </c>
      <c r="E413" s="2">
        <v>45672</v>
      </c>
      <c r="F413" s="3">
        <v>3502</v>
      </c>
      <c r="G413" s="1" t="s">
        <v>18</v>
      </c>
      <c r="H413" s="1" t="s">
        <v>19</v>
      </c>
      <c r="I413" s="2">
        <v>45844</v>
      </c>
      <c r="J413" s="1" t="s">
        <v>20</v>
      </c>
      <c r="K413" s="1" t="s">
        <v>43</v>
      </c>
      <c r="L413" s="1" t="s">
        <v>27</v>
      </c>
      <c r="M413" s="1" t="s">
        <v>45</v>
      </c>
      <c r="N413" s="3">
        <v>61</v>
      </c>
      <c r="O413" s="1" t="s">
        <v>52</v>
      </c>
      <c r="Q413" t="str">
        <v>28a60798-cf5f-4e6f-a937-e538ecde7d14</v>
      </c>
    </row>
    <row r="414" spans="1:17" ht="13.8">
      <c r="A414" s="1" t="s">
        <v>458</v>
      </c>
      <c r="B414" s="1" t="s">
        <v>38</v>
      </c>
      <c r="C414" s="1" t="s">
        <v>39</v>
      </c>
      <c r="D414" s="2">
        <v>45695</v>
      </c>
      <c r="E414" s="2">
        <v>45695</v>
      </c>
      <c r="F414" s="3">
        <v>0</v>
      </c>
      <c r="G414" s="1" t="s">
        <v>48</v>
      </c>
      <c r="H414" s="1" t="s">
        <v>35</v>
      </c>
      <c r="I414" s="1"/>
      <c r="J414" s="1" t="s">
        <v>20</v>
      </c>
      <c r="K414" s="1" t="s">
        <v>43</v>
      </c>
      <c r="L414" s="1" t="s">
        <v>41</v>
      </c>
      <c r="M414" s="1" t="s">
        <v>32</v>
      </c>
      <c r="N414" s="3">
        <v>93</v>
      </c>
      <c r="O414" s="1" t="s">
        <v>52</v>
      </c>
      <c r="Q414" t="str">
        <v>f521cc52-052d-436a-b1d9-dab77c2e4b18</v>
      </c>
    </row>
    <row r="415" spans="1:17" ht="13.8">
      <c r="A415" s="1" t="s">
        <v>459</v>
      </c>
      <c r="B415" s="1" t="s">
        <v>16</v>
      </c>
      <c r="C415" s="1" t="s">
        <v>17</v>
      </c>
      <c r="D415" s="2">
        <v>45849</v>
      </c>
      <c r="E415" s="2">
        <v>45781</v>
      </c>
      <c r="F415" s="3">
        <v>2117</v>
      </c>
      <c r="G415" s="1" t="s">
        <v>34</v>
      </c>
      <c r="H415" s="1" t="s">
        <v>29</v>
      </c>
      <c r="I415" s="2">
        <v>45664</v>
      </c>
      <c r="J415" s="1" t="s">
        <v>20</v>
      </c>
      <c r="K415" s="1" t="s">
        <v>31</v>
      </c>
      <c r="L415" s="1" t="s">
        <v>41</v>
      </c>
      <c r="M415" s="1" t="s">
        <v>32</v>
      </c>
      <c r="N415" s="3">
        <v>41</v>
      </c>
      <c r="O415" s="1" t="s">
        <v>24</v>
      </c>
      <c r="Q415" t="str">
        <v>0111b68d-6833-40f6-aa97-129aa8d0db5e</v>
      </c>
    </row>
    <row r="416" spans="1:17" ht="13.8">
      <c r="A416" s="1" t="s">
        <v>460</v>
      </c>
      <c r="B416" s="1" t="s">
        <v>38</v>
      </c>
      <c r="C416" s="1" t="s">
        <v>17</v>
      </c>
      <c r="D416" s="2">
        <v>45854</v>
      </c>
      <c r="E416" s="2">
        <v>45795</v>
      </c>
      <c r="F416" s="3">
        <v>3234</v>
      </c>
      <c r="G416" s="1" t="s">
        <v>48</v>
      </c>
      <c r="H416" s="1" t="s">
        <v>49</v>
      </c>
      <c r="I416" s="2">
        <v>45862</v>
      </c>
      <c r="J416" s="1" t="s">
        <v>30</v>
      </c>
      <c r="K416" s="1" t="s">
        <v>40</v>
      </c>
      <c r="L416" s="1" t="s">
        <v>44</v>
      </c>
      <c r="M416" s="1" t="s">
        <v>23</v>
      </c>
      <c r="N416" s="3">
        <v>34</v>
      </c>
      <c r="O416" s="1" t="s">
        <v>46</v>
      </c>
      <c r="Q416" t="str">
        <v>20e017b3-abbb-4ae7-a219-4a5ddf95aa36</v>
      </c>
    </row>
    <row r="417" spans="1:17" ht="13.8">
      <c r="A417" s="1" t="s">
        <v>461</v>
      </c>
      <c r="B417" s="1" t="s">
        <v>38</v>
      </c>
      <c r="C417" s="1" t="s">
        <v>39</v>
      </c>
      <c r="D417" s="2">
        <v>45836</v>
      </c>
      <c r="E417" s="2">
        <v>45836</v>
      </c>
      <c r="F417" s="3">
        <v>0</v>
      </c>
      <c r="G417" s="1" t="s">
        <v>34</v>
      </c>
      <c r="H417" s="1" t="s">
        <v>29</v>
      </c>
      <c r="I417" s="1"/>
      <c r="J417" s="1" t="s">
        <v>30</v>
      </c>
      <c r="K417" s="1" t="s">
        <v>31</v>
      </c>
      <c r="L417" s="1" t="s">
        <v>22</v>
      </c>
      <c r="M417" s="1" t="s">
        <v>36</v>
      </c>
      <c r="N417" s="3">
        <v>87</v>
      </c>
      <c r="O417" s="1" t="s">
        <v>46</v>
      </c>
      <c r="Q417" t="str">
        <v>4072c576-19b8-4e50-add3-dcc3ff0e7bed</v>
      </c>
    </row>
    <row r="418" spans="1:17" ht="13.8">
      <c r="A418" s="1" t="s">
        <v>462</v>
      </c>
      <c r="B418" s="1" t="s">
        <v>26</v>
      </c>
      <c r="C418" s="1" t="s">
        <v>27</v>
      </c>
      <c r="D418" s="2">
        <v>45821</v>
      </c>
      <c r="E418" s="2">
        <v>45774</v>
      </c>
      <c r="F418" s="3">
        <v>0</v>
      </c>
      <c r="G418" s="1" t="s">
        <v>48</v>
      </c>
      <c r="H418" s="1" t="s">
        <v>29</v>
      </c>
      <c r="I418" s="1"/>
      <c r="J418" s="1" t="s">
        <v>20</v>
      </c>
      <c r="K418" s="1" t="s">
        <v>40</v>
      </c>
      <c r="L418" s="1" t="s">
        <v>22</v>
      </c>
      <c r="M418" s="1" t="s">
        <v>23</v>
      </c>
      <c r="N418" s="3">
        <v>94</v>
      </c>
      <c r="O418" s="1" t="s">
        <v>52</v>
      </c>
      <c r="Q418" t="str">
        <v>1f18b93f-dd3c-43e5-a675-833ba3745f1b</v>
      </c>
    </row>
    <row r="419" spans="1:17" ht="13.8">
      <c r="A419" s="1" t="s">
        <v>463</v>
      </c>
      <c r="B419" s="1" t="s">
        <v>38</v>
      </c>
      <c r="C419" s="1" t="s">
        <v>17</v>
      </c>
      <c r="D419" s="2">
        <v>45754</v>
      </c>
      <c r="E419" s="2">
        <v>45801</v>
      </c>
      <c r="F419" s="3">
        <v>2449</v>
      </c>
      <c r="G419" s="1" t="s">
        <v>34</v>
      </c>
      <c r="H419" s="1" t="s">
        <v>29</v>
      </c>
      <c r="I419" s="2">
        <v>45881</v>
      </c>
      <c r="J419" s="1" t="s">
        <v>30</v>
      </c>
      <c r="K419" s="1" t="s">
        <v>31</v>
      </c>
      <c r="L419" s="1" t="s">
        <v>44</v>
      </c>
      <c r="M419" s="1" t="s">
        <v>32</v>
      </c>
      <c r="N419" s="3">
        <v>64</v>
      </c>
      <c r="O419" s="1" t="s">
        <v>24</v>
      </c>
      <c r="Q419" t="str">
        <v>4b5300b2-caca-43ff-9812-5ece7d96cb57</v>
      </c>
    </row>
    <row r="420" spans="1:17" ht="13.8">
      <c r="A420" s="1" t="s">
        <v>464</v>
      </c>
      <c r="B420" s="1" t="s">
        <v>51</v>
      </c>
      <c r="C420" s="1" t="s">
        <v>17</v>
      </c>
      <c r="D420" s="2">
        <v>45924</v>
      </c>
      <c r="E420" s="2">
        <v>45715</v>
      </c>
      <c r="F420" s="3">
        <v>2657</v>
      </c>
      <c r="G420" s="1" t="s">
        <v>18</v>
      </c>
      <c r="H420" s="1" t="s">
        <v>29</v>
      </c>
      <c r="I420" s="2">
        <v>45787</v>
      </c>
      <c r="J420" s="1" t="s">
        <v>20</v>
      </c>
      <c r="K420" s="1" t="s">
        <v>43</v>
      </c>
      <c r="L420" s="1" t="s">
        <v>27</v>
      </c>
      <c r="M420" s="1" t="s">
        <v>23</v>
      </c>
      <c r="N420" s="3">
        <v>64</v>
      </c>
      <c r="O420" s="1" t="s">
        <v>52</v>
      </c>
      <c r="Q420" t="str">
        <v>1e1100a3-fd97-401e-9f0a-0de898b2c145</v>
      </c>
    </row>
    <row r="421" spans="1:17" ht="13.8">
      <c r="A421" s="1" t="s">
        <v>465</v>
      </c>
      <c r="B421" s="1" t="s">
        <v>16</v>
      </c>
      <c r="C421" s="1" t="s">
        <v>39</v>
      </c>
      <c r="D421" s="2">
        <v>45679</v>
      </c>
      <c r="E421" s="2">
        <v>45679</v>
      </c>
      <c r="F421" s="3">
        <v>0</v>
      </c>
      <c r="G421" s="1" t="s">
        <v>18</v>
      </c>
      <c r="H421" s="1" t="s">
        <v>35</v>
      </c>
      <c r="I421" s="1"/>
      <c r="J421" s="1" t="s">
        <v>30</v>
      </c>
      <c r="K421" s="1" t="s">
        <v>40</v>
      </c>
      <c r="L421" s="1" t="s">
        <v>44</v>
      </c>
      <c r="M421" s="1" t="s">
        <v>23</v>
      </c>
      <c r="N421" s="3">
        <v>33</v>
      </c>
      <c r="O421" s="1" t="s">
        <v>24</v>
      </c>
      <c r="Q421" t="str">
        <v>dd1513e2-4fa9-4081-a947-434d3df8321d</v>
      </c>
    </row>
    <row r="422" spans="1:17" ht="13.8">
      <c r="A422" s="1" t="s">
        <v>466</v>
      </c>
      <c r="B422" s="1" t="s">
        <v>26</v>
      </c>
      <c r="C422" s="1" t="s">
        <v>39</v>
      </c>
      <c r="D422" s="2">
        <v>45859</v>
      </c>
      <c r="E422" s="2">
        <v>45859</v>
      </c>
      <c r="F422" s="3">
        <v>0</v>
      </c>
      <c r="G422" s="1" t="s">
        <v>48</v>
      </c>
      <c r="H422" s="1" t="s">
        <v>35</v>
      </c>
      <c r="I422" s="1"/>
      <c r="J422" s="1" t="s">
        <v>30</v>
      </c>
      <c r="K422" s="1" t="s">
        <v>31</v>
      </c>
      <c r="L422" s="1" t="s">
        <v>27</v>
      </c>
      <c r="M422" s="1" t="s">
        <v>32</v>
      </c>
      <c r="N422" s="3">
        <v>53</v>
      </c>
      <c r="O422" s="1" t="s">
        <v>24</v>
      </c>
      <c r="Q422" t="str">
        <v>d34826a1-0445-4b9b-81ea-a60250ec03da</v>
      </c>
    </row>
    <row r="423" spans="1:17" ht="13.8">
      <c r="A423" s="1" t="s">
        <v>467</v>
      </c>
      <c r="B423" s="1" t="s">
        <v>51</v>
      </c>
      <c r="C423" s="1" t="s">
        <v>17</v>
      </c>
      <c r="D423" s="2">
        <v>45929</v>
      </c>
      <c r="E423" s="2">
        <v>45848</v>
      </c>
      <c r="F423" s="3">
        <v>3529</v>
      </c>
      <c r="G423" s="1" t="s">
        <v>48</v>
      </c>
      <c r="H423" s="1" t="s">
        <v>29</v>
      </c>
      <c r="I423" s="2">
        <v>45756</v>
      </c>
      <c r="J423" s="1" t="s">
        <v>30</v>
      </c>
      <c r="K423" s="1" t="s">
        <v>40</v>
      </c>
      <c r="L423" s="1" t="s">
        <v>27</v>
      </c>
      <c r="M423" s="1" t="s">
        <v>23</v>
      </c>
      <c r="N423" s="3">
        <v>38</v>
      </c>
      <c r="O423" s="1" t="s">
        <v>52</v>
      </c>
      <c r="Q423" t="str">
        <v>b51327be-0e08-4f97-abde-50a0253e63f3</v>
      </c>
    </row>
    <row r="424" spans="1:17" ht="13.8">
      <c r="A424" s="1" t="s">
        <v>468</v>
      </c>
      <c r="B424" s="1" t="s">
        <v>26</v>
      </c>
      <c r="C424" s="1" t="s">
        <v>39</v>
      </c>
      <c r="D424" s="4">
        <v>45943</v>
      </c>
      <c r="E424" s="4">
        <v>45943</v>
      </c>
      <c r="F424" s="3">
        <v>0</v>
      </c>
      <c r="G424" s="1" t="s">
        <v>28</v>
      </c>
      <c r="H424" s="1" t="s">
        <v>19</v>
      </c>
      <c r="I424" s="1"/>
      <c r="J424" s="1" t="s">
        <v>20</v>
      </c>
      <c r="K424" s="1" t="s">
        <v>43</v>
      </c>
      <c r="L424" s="1" t="s">
        <v>44</v>
      </c>
      <c r="M424" s="1" t="s">
        <v>36</v>
      </c>
      <c r="N424" s="3">
        <v>76</v>
      </c>
      <c r="O424" s="1" t="s">
        <v>52</v>
      </c>
      <c r="Q424" t="str">
        <v>cfc96cdc-815a-4138-a9e6-a282f51c797b</v>
      </c>
    </row>
    <row r="425" spans="1:17" ht="13.8">
      <c r="A425" s="1" t="s">
        <v>469</v>
      </c>
      <c r="B425" s="1" t="s">
        <v>51</v>
      </c>
      <c r="C425" s="1" t="s">
        <v>17</v>
      </c>
      <c r="D425" s="2">
        <v>45866</v>
      </c>
      <c r="E425" s="2">
        <v>45747</v>
      </c>
      <c r="F425" s="3">
        <v>4422</v>
      </c>
      <c r="G425" s="1" t="s">
        <v>18</v>
      </c>
      <c r="H425" s="1" t="s">
        <v>35</v>
      </c>
      <c r="I425" s="2">
        <v>45869</v>
      </c>
      <c r="J425" s="1" t="s">
        <v>20</v>
      </c>
      <c r="K425" s="1" t="s">
        <v>21</v>
      </c>
      <c r="L425" s="1" t="s">
        <v>44</v>
      </c>
      <c r="M425" s="1" t="s">
        <v>36</v>
      </c>
      <c r="N425" s="3">
        <v>40</v>
      </c>
      <c r="O425" s="1" t="s">
        <v>52</v>
      </c>
      <c r="Q425" t="str">
        <v>0a693eb9-fa8d-4790-967f-e15b82619201</v>
      </c>
    </row>
    <row r="426" spans="1:17" ht="13.8">
      <c r="A426" s="1" t="s">
        <v>470</v>
      </c>
      <c r="B426" s="1" t="s">
        <v>51</v>
      </c>
      <c r="C426" s="1" t="s">
        <v>27</v>
      </c>
      <c r="D426" s="2">
        <v>45919</v>
      </c>
      <c r="E426" s="2">
        <v>45718</v>
      </c>
      <c r="F426" s="3">
        <v>0</v>
      </c>
      <c r="G426" s="1" t="s">
        <v>28</v>
      </c>
      <c r="H426" s="1" t="s">
        <v>49</v>
      </c>
      <c r="I426" s="1"/>
      <c r="J426" s="1" t="s">
        <v>20</v>
      </c>
      <c r="K426" s="1" t="s">
        <v>40</v>
      </c>
      <c r="L426" s="1" t="s">
        <v>44</v>
      </c>
      <c r="M426" s="1" t="s">
        <v>23</v>
      </c>
      <c r="N426" s="3">
        <v>35</v>
      </c>
      <c r="O426" s="1" t="s">
        <v>52</v>
      </c>
      <c r="Q426" t="str">
        <v>147b7d87-dbd3-4355-a42e-117ffdfbedbb</v>
      </c>
    </row>
    <row r="427" spans="1:17" ht="13.8">
      <c r="A427" s="1" t="s">
        <v>471</v>
      </c>
      <c r="B427" s="1" t="s">
        <v>51</v>
      </c>
      <c r="C427" s="1" t="s">
        <v>27</v>
      </c>
      <c r="D427" s="2">
        <v>45775</v>
      </c>
      <c r="E427" s="2">
        <v>45823</v>
      </c>
      <c r="F427" s="3">
        <v>0</v>
      </c>
      <c r="G427" s="1" t="s">
        <v>34</v>
      </c>
      <c r="H427" s="1" t="s">
        <v>49</v>
      </c>
      <c r="I427" s="1"/>
      <c r="J427" s="1" t="s">
        <v>30</v>
      </c>
      <c r="K427" s="1" t="s">
        <v>43</v>
      </c>
      <c r="L427" s="1" t="s">
        <v>41</v>
      </c>
      <c r="M427" s="1" t="s">
        <v>45</v>
      </c>
      <c r="N427" s="3">
        <v>87</v>
      </c>
      <c r="O427" s="1" t="s">
        <v>24</v>
      </c>
      <c r="Q427" t="str">
        <v>0c379398-d6cb-43e2-a58e-6d5af05aa6f8</v>
      </c>
    </row>
    <row r="428" spans="1:17" ht="13.8">
      <c r="A428" s="1" t="s">
        <v>472</v>
      </c>
      <c r="B428" s="1" t="s">
        <v>16</v>
      </c>
      <c r="C428" s="1" t="s">
        <v>17</v>
      </c>
      <c r="D428" s="2">
        <v>45675</v>
      </c>
      <c r="E428" s="2">
        <v>45660</v>
      </c>
      <c r="F428" s="3">
        <v>4336</v>
      </c>
      <c r="G428" s="1" t="s">
        <v>18</v>
      </c>
      <c r="H428" s="1" t="s">
        <v>49</v>
      </c>
      <c r="I428" s="2">
        <v>45860</v>
      </c>
      <c r="J428" s="1" t="s">
        <v>30</v>
      </c>
      <c r="K428" s="1" t="s">
        <v>43</v>
      </c>
      <c r="L428" s="1" t="s">
        <v>22</v>
      </c>
      <c r="M428" s="1" t="s">
        <v>45</v>
      </c>
      <c r="N428" s="3">
        <v>41</v>
      </c>
      <c r="O428" s="1" t="s">
        <v>46</v>
      </c>
      <c r="Q428" t="str">
        <v>6f13f784-4797-45c1-b9ab-e0a1b9f44cd7</v>
      </c>
    </row>
    <row r="429" spans="1:17" ht="13.8">
      <c r="A429" s="1" t="s">
        <v>473</v>
      </c>
      <c r="B429" s="1" t="s">
        <v>16</v>
      </c>
      <c r="C429" s="1" t="s">
        <v>39</v>
      </c>
      <c r="D429" s="2">
        <v>45723</v>
      </c>
      <c r="E429" s="2">
        <v>45723</v>
      </c>
      <c r="F429" s="3">
        <v>0</v>
      </c>
      <c r="G429" s="1" t="s">
        <v>18</v>
      </c>
      <c r="H429" s="1" t="s">
        <v>49</v>
      </c>
      <c r="I429" s="1"/>
      <c r="J429" s="1" t="s">
        <v>20</v>
      </c>
      <c r="K429" s="1" t="s">
        <v>40</v>
      </c>
      <c r="L429" s="1" t="s">
        <v>22</v>
      </c>
      <c r="M429" s="1" t="s">
        <v>23</v>
      </c>
      <c r="N429" s="3">
        <v>91</v>
      </c>
      <c r="O429" s="1" t="s">
        <v>24</v>
      </c>
      <c r="Q429" t="str">
        <v>d306fdb7-9009-47a2-8f7a-501eb4a9d0e9</v>
      </c>
    </row>
    <row r="430" spans="1:17" ht="13.8">
      <c r="A430" s="1" t="s">
        <v>474</v>
      </c>
      <c r="B430" s="1" t="s">
        <v>26</v>
      </c>
      <c r="C430" s="1" t="s">
        <v>39</v>
      </c>
      <c r="D430" s="2">
        <v>45939</v>
      </c>
      <c r="E430" s="2">
        <v>45939</v>
      </c>
      <c r="F430" s="3">
        <v>0</v>
      </c>
      <c r="G430" s="1" t="s">
        <v>28</v>
      </c>
      <c r="H430" s="1" t="s">
        <v>29</v>
      </c>
      <c r="I430" s="1"/>
      <c r="J430" s="1" t="s">
        <v>30</v>
      </c>
      <c r="K430" s="1" t="s">
        <v>43</v>
      </c>
      <c r="L430" s="1" t="s">
        <v>41</v>
      </c>
      <c r="M430" s="1" t="s">
        <v>23</v>
      </c>
      <c r="N430" s="3">
        <v>47</v>
      </c>
      <c r="O430" s="1" t="s">
        <v>24</v>
      </c>
      <c r="Q430" t="str">
        <v>9590df60-716c-4ddf-b89f-e9abb8d37b71</v>
      </c>
    </row>
    <row r="431" spans="1:17" ht="13.8">
      <c r="A431" s="1" t="s">
        <v>475</v>
      </c>
      <c r="B431" s="1" t="s">
        <v>16</v>
      </c>
      <c r="C431" s="1" t="s">
        <v>39</v>
      </c>
      <c r="D431" s="2">
        <v>45787</v>
      </c>
      <c r="E431" s="2">
        <v>45787</v>
      </c>
      <c r="F431" s="3">
        <v>0</v>
      </c>
      <c r="G431" s="1" t="s">
        <v>18</v>
      </c>
      <c r="H431" s="1" t="s">
        <v>19</v>
      </c>
      <c r="I431" s="1"/>
      <c r="J431" s="1" t="s">
        <v>20</v>
      </c>
      <c r="K431" s="1" t="s">
        <v>21</v>
      </c>
      <c r="L431" s="1" t="s">
        <v>41</v>
      </c>
      <c r="M431" s="1" t="s">
        <v>36</v>
      </c>
      <c r="N431" s="3">
        <v>91</v>
      </c>
      <c r="O431" s="1" t="s">
        <v>46</v>
      </c>
      <c r="Q431" t="str">
        <v>d5eba5db-4205-492f-a3f4-d000d50c932c</v>
      </c>
    </row>
    <row r="432" spans="1:17" ht="13.8">
      <c r="A432" s="1" t="s">
        <v>476</v>
      </c>
      <c r="B432" s="1" t="s">
        <v>16</v>
      </c>
      <c r="C432" s="1" t="s">
        <v>27</v>
      </c>
      <c r="D432" s="2">
        <v>45781</v>
      </c>
      <c r="E432" s="2">
        <v>45688</v>
      </c>
      <c r="F432" s="3">
        <v>0</v>
      </c>
      <c r="G432" s="1" t="s">
        <v>28</v>
      </c>
      <c r="H432" s="1" t="s">
        <v>19</v>
      </c>
      <c r="I432" s="1"/>
      <c r="J432" s="1" t="s">
        <v>30</v>
      </c>
      <c r="K432" s="1" t="s">
        <v>43</v>
      </c>
      <c r="L432" s="1" t="s">
        <v>41</v>
      </c>
      <c r="M432" s="1" t="s">
        <v>32</v>
      </c>
      <c r="N432" s="3">
        <v>69</v>
      </c>
      <c r="O432" s="1" t="s">
        <v>46</v>
      </c>
      <c r="Q432" t="str">
        <v>2b9ce9d9-1eab-4ace-a377-4d6878af3940</v>
      </c>
    </row>
    <row r="433" spans="1:17" ht="13.8">
      <c r="A433" s="1" t="s">
        <v>477</v>
      </c>
      <c r="B433" s="1" t="s">
        <v>16</v>
      </c>
      <c r="C433" s="1" t="s">
        <v>17</v>
      </c>
      <c r="D433" s="2">
        <v>45835</v>
      </c>
      <c r="E433" s="4">
        <v>45944</v>
      </c>
      <c r="F433" s="3">
        <v>3031</v>
      </c>
      <c r="G433" s="1" t="s">
        <v>48</v>
      </c>
      <c r="H433" s="1" t="s">
        <v>19</v>
      </c>
      <c r="I433" s="2">
        <v>45748</v>
      </c>
      <c r="J433" s="1" t="s">
        <v>30</v>
      </c>
      <c r="K433" s="1" t="s">
        <v>43</v>
      </c>
      <c r="L433" s="1" t="s">
        <v>22</v>
      </c>
      <c r="M433" s="1" t="s">
        <v>32</v>
      </c>
      <c r="N433" s="3">
        <v>44</v>
      </c>
      <c r="O433" s="1" t="s">
        <v>24</v>
      </c>
      <c r="Q433" t="str">
        <v>e25a690d-e273-4b9d-9dcd-8f043adb2803</v>
      </c>
    </row>
    <row r="434" spans="1:17" ht="13.8">
      <c r="A434" s="1" t="s">
        <v>478</v>
      </c>
      <c r="B434" s="1" t="s">
        <v>26</v>
      </c>
      <c r="C434" s="1" t="s">
        <v>39</v>
      </c>
      <c r="D434" s="2">
        <v>45904</v>
      </c>
      <c r="E434" s="2">
        <v>45904</v>
      </c>
      <c r="F434" s="3">
        <v>0</v>
      </c>
      <c r="G434" s="1" t="s">
        <v>28</v>
      </c>
      <c r="H434" s="1" t="s">
        <v>49</v>
      </c>
      <c r="I434" s="1"/>
      <c r="J434" s="1" t="s">
        <v>20</v>
      </c>
      <c r="K434" s="1" t="s">
        <v>40</v>
      </c>
      <c r="L434" s="1" t="s">
        <v>41</v>
      </c>
      <c r="M434" s="1" t="s">
        <v>32</v>
      </c>
      <c r="N434" s="3">
        <v>50</v>
      </c>
      <c r="O434" s="1" t="s">
        <v>46</v>
      </c>
      <c r="Q434" t="str">
        <v>1ab65816-0098-43ba-bc6a-607b938f08c2</v>
      </c>
    </row>
    <row r="435" spans="1:17" ht="13.8">
      <c r="A435" s="1" t="s">
        <v>479</v>
      </c>
      <c r="B435" s="1" t="s">
        <v>16</v>
      </c>
      <c r="C435" s="1" t="s">
        <v>39</v>
      </c>
      <c r="D435" s="2">
        <v>45789</v>
      </c>
      <c r="E435" s="2">
        <v>45789</v>
      </c>
      <c r="F435" s="3">
        <v>0</v>
      </c>
      <c r="G435" s="1" t="s">
        <v>34</v>
      </c>
      <c r="H435" s="1" t="s">
        <v>19</v>
      </c>
      <c r="I435" s="1"/>
      <c r="J435" s="1" t="s">
        <v>20</v>
      </c>
      <c r="K435" s="1" t="s">
        <v>21</v>
      </c>
      <c r="L435" s="1" t="s">
        <v>22</v>
      </c>
      <c r="M435" s="1" t="s">
        <v>32</v>
      </c>
      <c r="N435" s="3">
        <v>31</v>
      </c>
      <c r="O435" s="1" t="s">
        <v>24</v>
      </c>
      <c r="Q435" t="str">
        <v>823b2996-4c09-42f7-8615-3416cf94bfd2</v>
      </c>
    </row>
    <row r="436" spans="1:17" ht="13.8">
      <c r="A436" s="1" t="s">
        <v>480</v>
      </c>
      <c r="B436" s="1" t="s">
        <v>51</v>
      </c>
      <c r="C436" s="1" t="s">
        <v>27</v>
      </c>
      <c r="D436" s="2">
        <v>45814</v>
      </c>
      <c r="E436" s="2">
        <v>45727</v>
      </c>
      <c r="F436" s="3">
        <v>0</v>
      </c>
      <c r="G436" s="1" t="s">
        <v>48</v>
      </c>
      <c r="H436" s="1" t="s">
        <v>19</v>
      </c>
      <c r="I436" s="1"/>
      <c r="J436" s="1" t="s">
        <v>30</v>
      </c>
      <c r="K436" s="1" t="s">
        <v>21</v>
      </c>
      <c r="L436" s="1" t="s">
        <v>41</v>
      </c>
      <c r="M436" s="1" t="s">
        <v>23</v>
      </c>
      <c r="N436" s="3">
        <v>91</v>
      </c>
      <c r="O436" s="1" t="s">
        <v>46</v>
      </c>
      <c r="Q436" t="str">
        <v>d3a1eca6-557d-4374-b03a-a3d4a685129d</v>
      </c>
    </row>
    <row r="437" spans="1:17" ht="13.8">
      <c r="A437" s="1" t="s">
        <v>481</v>
      </c>
      <c r="B437" s="1" t="s">
        <v>26</v>
      </c>
      <c r="C437" s="1" t="s">
        <v>17</v>
      </c>
      <c r="D437" s="2">
        <v>45919</v>
      </c>
      <c r="E437" s="2">
        <v>45697</v>
      </c>
      <c r="F437" s="3">
        <v>3988</v>
      </c>
      <c r="G437" s="1" t="s">
        <v>28</v>
      </c>
      <c r="H437" s="1" t="s">
        <v>35</v>
      </c>
      <c r="I437" s="4">
        <v>45940</v>
      </c>
      <c r="J437" s="1" t="s">
        <v>30</v>
      </c>
      <c r="K437" s="1" t="s">
        <v>43</v>
      </c>
      <c r="L437" s="1" t="s">
        <v>27</v>
      </c>
      <c r="M437" s="1" t="s">
        <v>45</v>
      </c>
      <c r="N437" s="3">
        <v>62</v>
      </c>
      <c r="O437" s="1" t="s">
        <v>52</v>
      </c>
      <c r="Q437" t="str">
        <v>4eeac773-7f58-4099-b6dd-e1f84c105068</v>
      </c>
    </row>
    <row r="438" spans="1:17" ht="13.8">
      <c r="A438" s="1" t="s">
        <v>482</v>
      </c>
      <c r="B438" s="1" t="s">
        <v>38</v>
      </c>
      <c r="C438" s="1" t="s">
        <v>39</v>
      </c>
      <c r="D438" s="2">
        <v>45663</v>
      </c>
      <c r="E438" s="2">
        <v>45663</v>
      </c>
      <c r="F438" s="3">
        <v>0</v>
      </c>
      <c r="G438" s="1" t="s">
        <v>34</v>
      </c>
      <c r="H438" s="1" t="s">
        <v>49</v>
      </c>
      <c r="I438" s="1"/>
      <c r="J438" s="1" t="s">
        <v>30</v>
      </c>
      <c r="K438" s="1" t="s">
        <v>31</v>
      </c>
      <c r="L438" s="1" t="s">
        <v>44</v>
      </c>
      <c r="M438" s="1" t="s">
        <v>32</v>
      </c>
      <c r="N438" s="3">
        <v>40</v>
      </c>
      <c r="O438" s="1" t="s">
        <v>52</v>
      </c>
      <c r="Q438" t="str">
        <v>62f56a29-7f1b-491c-9c77-df1250e87e28</v>
      </c>
    </row>
    <row r="439" spans="1:17" ht="13.8">
      <c r="A439" s="1" t="s">
        <v>483</v>
      </c>
      <c r="B439" s="1" t="s">
        <v>26</v>
      </c>
      <c r="C439" s="1" t="s">
        <v>17</v>
      </c>
      <c r="D439" s="2">
        <v>45850</v>
      </c>
      <c r="E439" s="2">
        <v>45667</v>
      </c>
      <c r="F439" s="3">
        <v>3651</v>
      </c>
      <c r="G439" s="1" t="s">
        <v>18</v>
      </c>
      <c r="H439" s="1" t="s">
        <v>29</v>
      </c>
      <c r="I439" s="2">
        <v>45922</v>
      </c>
      <c r="J439" s="1" t="s">
        <v>20</v>
      </c>
      <c r="K439" s="1" t="s">
        <v>21</v>
      </c>
      <c r="L439" s="1" t="s">
        <v>41</v>
      </c>
      <c r="M439" s="1" t="s">
        <v>36</v>
      </c>
      <c r="N439" s="3">
        <v>35</v>
      </c>
      <c r="O439" s="1" t="s">
        <v>24</v>
      </c>
      <c r="Q439" t="str">
        <v>7bf0a25a-76fe-49d6-a2c9-e9dfdd5dd6ee</v>
      </c>
    </row>
    <row r="440" spans="1:17" ht="13.8">
      <c r="A440" s="1" t="s">
        <v>484</v>
      </c>
      <c r="B440" s="1" t="s">
        <v>38</v>
      </c>
      <c r="C440" s="1" t="s">
        <v>27</v>
      </c>
      <c r="D440" s="2">
        <v>45862</v>
      </c>
      <c r="E440" s="2">
        <v>45737</v>
      </c>
      <c r="F440" s="3">
        <v>0</v>
      </c>
      <c r="G440" s="1" t="s">
        <v>48</v>
      </c>
      <c r="H440" s="1" t="s">
        <v>35</v>
      </c>
      <c r="I440" s="1"/>
      <c r="J440" s="1" t="s">
        <v>30</v>
      </c>
      <c r="K440" s="1" t="s">
        <v>31</v>
      </c>
      <c r="L440" s="1" t="s">
        <v>22</v>
      </c>
      <c r="M440" s="1" t="s">
        <v>32</v>
      </c>
      <c r="N440" s="3">
        <v>48</v>
      </c>
      <c r="O440" s="1" t="s">
        <v>46</v>
      </c>
      <c r="Q440" t="str">
        <v>9a3f4a56-d48d-4970-a840-c5f8ed450c88</v>
      </c>
    </row>
    <row r="441" spans="1:17" ht="13.8">
      <c r="A441" s="1" t="s">
        <v>485</v>
      </c>
      <c r="B441" s="1" t="s">
        <v>16</v>
      </c>
      <c r="C441" s="1" t="s">
        <v>17</v>
      </c>
      <c r="D441" s="2">
        <v>45800</v>
      </c>
      <c r="E441" s="2">
        <v>45847</v>
      </c>
      <c r="F441" s="3">
        <v>4172</v>
      </c>
      <c r="G441" s="1" t="s">
        <v>34</v>
      </c>
      <c r="H441" s="1" t="s">
        <v>29</v>
      </c>
      <c r="I441" s="2">
        <v>45856</v>
      </c>
      <c r="J441" s="1" t="s">
        <v>20</v>
      </c>
      <c r="K441" s="1" t="s">
        <v>21</v>
      </c>
      <c r="L441" s="1" t="s">
        <v>22</v>
      </c>
      <c r="M441" s="1" t="s">
        <v>32</v>
      </c>
      <c r="N441" s="3">
        <v>46</v>
      </c>
      <c r="O441" s="1" t="s">
        <v>52</v>
      </c>
      <c r="Q441" t="str">
        <v>8e6309f0-e51d-4e92-af27-0b87a64b56db</v>
      </c>
    </row>
    <row r="442" spans="1:17" ht="13.8">
      <c r="A442" s="1" t="s">
        <v>486</v>
      </c>
      <c r="B442" s="1" t="s">
        <v>26</v>
      </c>
      <c r="C442" s="1" t="s">
        <v>17</v>
      </c>
      <c r="D442" s="2">
        <v>45754</v>
      </c>
      <c r="E442" s="2">
        <v>45848</v>
      </c>
      <c r="F442" s="3">
        <v>3922</v>
      </c>
      <c r="G442" s="1" t="s">
        <v>28</v>
      </c>
      <c r="H442" s="1" t="s">
        <v>49</v>
      </c>
      <c r="I442" s="2">
        <v>45841</v>
      </c>
      <c r="J442" s="1" t="s">
        <v>20</v>
      </c>
      <c r="K442" s="1" t="s">
        <v>21</v>
      </c>
      <c r="L442" s="1" t="s">
        <v>22</v>
      </c>
      <c r="M442" s="1" t="s">
        <v>45</v>
      </c>
      <c r="N442" s="3">
        <v>87</v>
      </c>
      <c r="O442" s="1" t="s">
        <v>52</v>
      </c>
      <c r="Q442" t="str">
        <v>602f9971-e821-4188-a084-3482108f3f83</v>
      </c>
    </row>
    <row r="443" spans="1:17" ht="13.8">
      <c r="A443" s="1" t="s">
        <v>487</v>
      </c>
      <c r="B443" s="1" t="s">
        <v>38</v>
      </c>
      <c r="C443" s="1" t="s">
        <v>17</v>
      </c>
      <c r="D443" s="2">
        <v>45811</v>
      </c>
      <c r="E443" s="2">
        <v>45695</v>
      </c>
      <c r="F443" s="3">
        <v>3459</v>
      </c>
      <c r="G443" s="1" t="s">
        <v>48</v>
      </c>
      <c r="H443" s="1" t="s">
        <v>49</v>
      </c>
      <c r="I443" s="2">
        <v>45741</v>
      </c>
      <c r="J443" s="1" t="s">
        <v>30</v>
      </c>
      <c r="K443" s="1" t="s">
        <v>40</v>
      </c>
      <c r="L443" s="1" t="s">
        <v>41</v>
      </c>
      <c r="M443" s="1" t="s">
        <v>36</v>
      </c>
      <c r="N443" s="3">
        <v>49</v>
      </c>
      <c r="O443" s="1" t="s">
        <v>46</v>
      </c>
      <c r="Q443" t="str">
        <v>13ba4405-db30-42be-a0c0-4c55dca1606e</v>
      </c>
    </row>
    <row r="444" spans="1:17" ht="13.8">
      <c r="A444" s="1" t="s">
        <v>488</v>
      </c>
      <c r="B444" s="1" t="s">
        <v>16</v>
      </c>
      <c r="C444" s="1" t="s">
        <v>27</v>
      </c>
      <c r="D444" s="2">
        <v>45906</v>
      </c>
      <c r="E444" s="2">
        <v>45747</v>
      </c>
      <c r="F444" s="3">
        <v>0</v>
      </c>
      <c r="G444" s="1" t="s">
        <v>28</v>
      </c>
      <c r="H444" s="1" t="s">
        <v>49</v>
      </c>
      <c r="I444" s="1"/>
      <c r="J444" s="1" t="s">
        <v>20</v>
      </c>
      <c r="K444" s="1" t="s">
        <v>43</v>
      </c>
      <c r="L444" s="1" t="s">
        <v>22</v>
      </c>
      <c r="M444" s="1" t="s">
        <v>23</v>
      </c>
      <c r="N444" s="3">
        <v>94</v>
      </c>
      <c r="O444" s="1" t="s">
        <v>24</v>
      </c>
      <c r="Q444" t="str">
        <v>41be0fa6-e563-4bae-a44b-c77b2a5efa8d</v>
      </c>
    </row>
    <row r="445" spans="1:17" ht="13.8">
      <c r="A445" s="1" t="s">
        <v>489</v>
      </c>
      <c r="B445" s="1" t="s">
        <v>26</v>
      </c>
      <c r="C445" s="1" t="s">
        <v>39</v>
      </c>
      <c r="D445" s="2">
        <v>45729</v>
      </c>
      <c r="E445" s="2">
        <v>45729</v>
      </c>
      <c r="F445" s="3">
        <v>0</v>
      </c>
      <c r="G445" s="1" t="s">
        <v>28</v>
      </c>
      <c r="H445" s="1" t="s">
        <v>19</v>
      </c>
      <c r="I445" s="1"/>
      <c r="J445" s="1" t="s">
        <v>30</v>
      </c>
      <c r="K445" s="1" t="s">
        <v>43</v>
      </c>
      <c r="L445" s="1" t="s">
        <v>41</v>
      </c>
      <c r="M445" s="1" t="s">
        <v>36</v>
      </c>
      <c r="N445" s="3">
        <v>87</v>
      </c>
      <c r="O445" s="1" t="s">
        <v>24</v>
      </c>
      <c r="Q445" t="str">
        <v>e6684325-ee24-4091-9bdf-b2210981b675</v>
      </c>
    </row>
    <row r="446" spans="1:17" ht="13.8">
      <c r="A446" s="1" t="s">
        <v>490</v>
      </c>
      <c r="B446" s="1" t="s">
        <v>26</v>
      </c>
      <c r="C446" s="1" t="s">
        <v>27</v>
      </c>
      <c r="D446" s="2">
        <v>45668</v>
      </c>
      <c r="E446" s="2">
        <v>45784</v>
      </c>
      <c r="F446" s="3">
        <v>0</v>
      </c>
      <c r="G446" s="1" t="s">
        <v>18</v>
      </c>
      <c r="H446" s="1" t="s">
        <v>35</v>
      </c>
      <c r="I446" s="1"/>
      <c r="J446" s="1" t="s">
        <v>30</v>
      </c>
      <c r="K446" s="1" t="s">
        <v>31</v>
      </c>
      <c r="L446" s="1" t="s">
        <v>41</v>
      </c>
      <c r="M446" s="1" t="s">
        <v>32</v>
      </c>
      <c r="N446" s="3">
        <v>67</v>
      </c>
      <c r="O446" s="1" t="s">
        <v>24</v>
      </c>
      <c r="Q446" t="str">
        <v>8581bbce-7f22-4769-9226-1be9284f8520</v>
      </c>
    </row>
    <row r="447" spans="1:17" ht="13.8">
      <c r="A447" s="1" t="s">
        <v>491</v>
      </c>
      <c r="B447" s="1" t="s">
        <v>16</v>
      </c>
      <c r="C447" s="1" t="s">
        <v>39</v>
      </c>
      <c r="D447" s="2">
        <v>45835</v>
      </c>
      <c r="E447" s="2">
        <v>45835</v>
      </c>
      <c r="F447" s="3">
        <v>0</v>
      </c>
      <c r="G447" s="1" t="s">
        <v>28</v>
      </c>
      <c r="H447" s="1" t="s">
        <v>19</v>
      </c>
      <c r="I447" s="1"/>
      <c r="J447" s="1" t="s">
        <v>20</v>
      </c>
      <c r="K447" s="1" t="s">
        <v>31</v>
      </c>
      <c r="L447" s="1" t="s">
        <v>27</v>
      </c>
      <c r="M447" s="1" t="s">
        <v>32</v>
      </c>
      <c r="N447" s="3">
        <v>89</v>
      </c>
      <c r="O447" s="1" t="s">
        <v>46</v>
      </c>
      <c r="Q447" t="str">
        <v>947e7904-ee65-4542-b4b4-e2c0a817aeec</v>
      </c>
    </row>
    <row r="448" spans="1:17" ht="13.8">
      <c r="A448" s="1" t="s">
        <v>492</v>
      </c>
      <c r="B448" s="1" t="s">
        <v>38</v>
      </c>
      <c r="C448" s="1" t="s">
        <v>39</v>
      </c>
      <c r="D448" s="2">
        <v>45889</v>
      </c>
      <c r="E448" s="2">
        <v>45889</v>
      </c>
      <c r="F448" s="3">
        <v>0</v>
      </c>
      <c r="G448" s="1" t="s">
        <v>18</v>
      </c>
      <c r="H448" s="1" t="s">
        <v>29</v>
      </c>
      <c r="I448" s="1"/>
      <c r="J448" s="1" t="s">
        <v>20</v>
      </c>
      <c r="K448" s="1" t="s">
        <v>21</v>
      </c>
      <c r="L448" s="1" t="s">
        <v>27</v>
      </c>
      <c r="M448" s="1" t="s">
        <v>23</v>
      </c>
      <c r="N448" s="3">
        <v>59</v>
      </c>
      <c r="O448" s="1" t="s">
        <v>24</v>
      </c>
      <c r="Q448" t="str">
        <v>31e5a70f-237d-48e4-be43-6e6e820f5a04</v>
      </c>
    </row>
    <row r="449" spans="1:17" ht="13.8">
      <c r="A449" s="1" t="s">
        <v>493</v>
      </c>
      <c r="B449" s="1" t="s">
        <v>16</v>
      </c>
      <c r="C449" s="1" t="s">
        <v>39</v>
      </c>
      <c r="D449" s="2">
        <v>45888</v>
      </c>
      <c r="E449" s="2">
        <v>45888</v>
      </c>
      <c r="F449" s="3">
        <v>0</v>
      </c>
      <c r="G449" s="1" t="s">
        <v>18</v>
      </c>
      <c r="H449" s="1" t="s">
        <v>29</v>
      </c>
      <c r="I449" s="1"/>
      <c r="J449" s="1" t="s">
        <v>30</v>
      </c>
      <c r="K449" s="1" t="s">
        <v>40</v>
      </c>
      <c r="L449" s="1" t="s">
        <v>22</v>
      </c>
      <c r="M449" s="1" t="s">
        <v>32</v>
      </c>
      <c r="N449" s="3">
        <v>59</v>
      </c>
      <c r="O449" s="1" t="s">
        <v>46</v>
      </c>
      <c r="Q449" t="str">
        <v>d0a4b726-23d2-4e15-9d69-9a228f62520f</v>
      </c>
    </row>
    <row r="450" spans="1:17" ht="13.8">
      <c r="A450" s="1" t="s">
        <v>494</v>
      </c>
      <c r="B450" s="1" t="s">
        <v>51</v>
      </c>
      <c r="C450" s="1" t="s">
        <v>27</v>
      </c>
      <c r="D450" s="2">
        <v>45915</v>
      </c>
      <c r="E450" s="2">
        <v>45928</v>
      </c>
      <c r="F450" s="3">
        <v>0</v>
      </c>
      <c r="G450" s="1" t="s">
        <v>48</v>
      </c>
      <c r="H450" s="1" t="s">
        <v>35</v>
      </c>
      <c r="I450" s="1"/>
      <c r="J450" s="1" t="s">
        <v>30</v>
      </c>
      <c r="K450" s="1" t="s">
        <v>40</v>
      </c>
      <c r="L450" s="1" t="s">
        <v>27</v>
      </c>
      <c r="M450" s="1" t="s">
        <v>23</v>
      </c>
      <c r="N450" s="3">
        <v>44</v>
      </c>
      <c r="O450" s="1" t="s">
        <v>52</v>
      </c>
      <c r="Q450" t="str">
        <v>5a61d6a6-cded-48e3-8251-550cc8124b85</v>
      </c>
    </row>
    <row r="451" spans="1:17" ht="13.8">
      <c r="A451" s="1" t="s">
        <v>495</v>
      </c>
      <c r="B451" s="1" t="s">
        <v>38</v>
      </c>
      <c r="C451" s="1" t="s">
        <v>27</v>
      </c>
      <c r="D451" s="2">
        <v>45802</v>
      </c>
      <c r="E451" s="2">
        <v>45863</v>
      </c>
      <c r="F451" s="3">
        <v>0</v>
      </c>
      <c r="G451" s="1" t="s">
        <v>34</v>
      </c>
      <c r="H451" s="1" t="s">
        <v>29</v>
      </c>
      <c r="I451" s="1"/>
      <c r="J451" s="1" t="s">
        <v>30</v>
      </c>
      <c r="K451" s="1" t="s">
        <v>43</v>
      </c>
      <c r="L451" s="1" t="s">
        <v>44</v>
      </c>
      <c r="M451" s="1" t="s">
        <v>36</v>
      </c>
      <c r="N451" s="3">
        <v>42</v>
      </c>
      <c r="O451" s="1" t="s">
        <v>52</v>
      </c>
      <c r="Q451" t="str">
        <v>9513463d-602f-47b6-989d-df91dd00565d</v>
      </c>
    </row>
    <row r="452" spans="1:17" ht="13.8">
      <c r="A452" s="1" t="s">
        <v>496</v>
      </c>
      <c r="B452" s="1" t="s">
        <v>26</v>
      </c>
      <c r="C452" s="1" t="s">
        <v>27</v>
      </c>
      <c r="D452" s="2">
        <v>45804</v>
      </c>
      <c r="E452" s="2">
        <v>45911</v>
      </c>
      <c r="F452" s="3">
        <v>0</v>
      </c>
      <c r="G452" s="1" t="s">
        <v>28</v>
      </c>
      <c r="H452" s="1" t="s">
        <v>19</v>
      </c>
      <c r="I452" s="1"/>
      <c r="J452" s="1" t="s">
        <v>20</v>
      </c>
      <c r="K452" s="1" t="s">
        <v>40</v>
      </c>
      <c r="L452" s="1" t="s">
        <v>22</v>
      </c>
      <c r="M452" s="1" t="s">
        <v>32</v>
      </c>
      <c r="N452" s="3">
        <v>50</v>
      </c>
      <c r="O452" s="1" t="s">
        <v>46</v>
      </c>
      <c r="Q452" t="str">
        <v>ab7b161e-14dd-41a3-ad79-5b4fb50c1dff</v>
      </c>
    </row>
    <row r="453" spans="1:17" ht="13.8">
      <c r="A453" s="1" t="s">
        <v>497</v>
      </c>
      <c r="B453" s="1" t="s">
        <v>38</v>
      </c>
      <c r="C453" s="1" t="s">
        <v>39</v>
      </c>
      <c r="D453" s="2">
        <v>45687</v>
      </c>
      <c r="E453" s="2">
        <v>45687</v>
      </c>
      <c r="F453" s="3">
        <v>0</v>
      </c>
      <c r="G453" s="1" t="s">
        <v>48</v>
      </c>
      <c r="H453" s="1" t="s">
        <v>19</v>
      </c>
      <c r="I453" s="1"/>
      <c r="J453" s="1" t="s">
        <v>30</v>
      </c>
      <c r="K453" s="1" t="s">
        <v>31</v>
      </c>
      <c r="L453" s="1" t="s">
        <v>22</v>
      </c>
      <c r="M453" s="1" t="s">
        <v>32</v>
      </c>
      <c r="N453" s="3">
        <v>87</v>
      </c>
      <c r="O453" s="1" t="s">
        <v>52</v>
      </c>
      <c r="Q453" t="str">
        <v>de144ff4-b01a-46fe-b18a-a944f297c675</v>
      </c>
    </row>
    <row r="454" spans="1:17" ht="13.8">
      <c r="A454" s="1" t="s">
        <v>498</v>
      </c>
      <c r="B454" s="1" t="s">
        <v>16</v>
      </c>
      <c r="C454" s="1" t="s">
        <v>17</v>
      </c>
      <c r="D454" s="2">
        <v>45738</v>
      </c>
      <c r="E454" s="2">
        <v>45832</v>
      </c>
      <c r="F454" s="3">
        <v>4991</v>
      </c>
      <c r="G454" s="1" t="s">
        <v>18</v>
      </c>
      <c r="H454" s="1" t="s">
        <v>49</v>
      </c>
      <c r="I454" s="2">
        <v>45695</v>
      </c>
      <c r="J454" s="1" t="s">
        <v>20</v>
      </c>
      <c r="K454" s="1" t="s">
        <v>31</v>
      </c>
      <c r="L454" s="1" t="s">
        <v>41</v>
      </c>
      <c r="M454" s="1" t="s">
        <v>45</v>
      </c>
      <c r="N454" s="3">
        <v>75</v>
      </c>
      <c r="O454" s="1" t="s">
        <v>46</v>
      </c>
      <c r="Q454" t="str">
        <v>237e4811-ad85-41af-8e39-a706d73e798e</v>
      </c>
    </row>
    <row r="455" spans="1:17" ht="13.8">
      <c r="A455" s="1" t="s">
        <v>499</v>
      </c>
      <c r="B455" s="1" t="s">
        <v>16</v>
      </c>
      <c r="C455" s="1" t="s">
        <v>27</v>
      </c>
      <c r="D455" s="2">
        <v>45792</v>
      </c>
      <c r="E455" s="2">
        <v>45764</v>
      </c>
      <c r="F455" s="3">
        <v>0</v>
      </c>
      <c r="G455" s="1" t="s">
        <v>18</v>
      </c>
      <c r="H455" s="1" t="s">
        <v>49</v>
      </c>
      <c r="I455" s="1"/>
      <c r="J455" s="1" t="s">
        <v>20</v>
      </c>
      <c r="K455" s="1" t="s">
        <v>40</v>
      </c>
      <c r="L455" s="1" t="s">
        <v>41</v>
      </c>
      <c r="M455" s="1" t="s">
        <v>45</v>
      </c>
      <c r="N455" s="3">
        <v>38</v>
      </c>
      <c r="O455" s="1" t="s">
        <v>46</v>
      </c>
      <c r="Q455" t="str">
        <v>8d1082b1-e2ef-40de-94a0-82052c2a042d</v>
      </c>
    </row>
    <row r="456" spans="1:17" ht="13.8">
      <c r="A456" s="1" t="s">
        <v>500</v>
      </c>
      <c r="B456" s="1" t="s">
        <v>38</v>
      </c>
      <c r="C456" s="1" t="s">
        <v>27</v>
      </c>
      <c r="D456" s="2">
        <v>45904</v>
      </c>
      <c r="E456" s="2">
        <v>45774</v>
      </c>
      <c r="F456" s="3">
        <v>0</v>
      </c>
      <c r="G456" s="1" t="s">
        <v>34</v>
      </c>
      <c r="H456" s="1" t="s">
        <v>49</v>
      </c>
      <c r="I456" s="1"/>
      <c r="J456" s="1" t="s">
        <v>20</v>
      </c>
      <c r="K456" s="1" t="s">
        <v>31</v>
      </c>
      <c r="L456" s="1" t="s">
        <v>27</v>
      </c>
      <c r="M456" s="1" t="s">
        <v>23</v>
      </c>
      <c r="N456" s="3">
        <v>44</v>
      </c>
      <c r="O456" s="1" t="s">
        <v>24</v>
      </c>
      <c r="Q456" t="str">
        <v>2c60e58b-6799-42ca-a0c8-c6993aae0e97</v>
      </c>
    </row>
    <row r="457" spans="1:17" ht="13.8">
      <c r="A457" s="1" t="s">
        <v>501</v>
      </c>
      <c r="B457" s="1" t="s">
        <v>16</v>
      </c>
      <c r="C457" s="1" t="s">
        <v>27</v>
      </c>
      <c r="D457" s="2">
        <v>45810</v>
      </c>
      <c r="E457" s="2">
        <v>45818</v>
      </c>
      <c r="F457" s="3">
        <v>0</v>
      </c>
      <c r="G457" s="1" t="s">
        <v>48</v>
      </c>
      <c r="H457" s="1" t="s">
        <v>29</v>
      </c>
      <c r="I457" s="1"/>
      <c r="J457" s="1" t="s">
        <v>30</v>
      </c>
      <c r="K457" s="1" t="s">
        <v>21</v>
      </c>
      <c r="L457" s="1" t="s">
        <v>27</v>
      </c>
      <c r="M457" s="1" t="s">
        <v>23</v>
      </c>
      <c r="N457" s="3">
        <v>64</v>
      </c>
      <c r="O457" s="1" t="s">
        <v>24</v>
      </c>
      <c r="Q457" t="str">
        <v>8097059a-0012-4c82-aae3-56143480f938</v>
      </c>
    </row>
    <row r="458" spans="1:17" ht="13.8">
      <c r="A458" s="1" t="s">
        <v>502</v>
      </c>
      <c r="B458" s="1" t="s">
        <v>38</v>
      </c>
      <c r="C458" s="1" t="s">
        <v>27</v>
      </c>
      <c r="D458" s="2">
        <v>45925</v>
      </c>
      <c r="E458" s="2">
        <v>45916</v>
      </c>
      <c r="F458" s="3">
        <v>0</v>
      </c>
      <c r="G458" s="1" t="s">
        <v>28</v>
      </c>
      <c r="H458" s="1" t="s">
        <v>19</v>
      </c>
      <c r="I458" s="1"/>
      <c r="J458" s="1" t="s">
        <v>20</v>
      </c>
      <c r="K458" s="1" t="s">
        <v>43</v>
      </c>
      <c r="L458" s="1" t="s">
        <v>22</v>
      </c>
      <c r="M458" s="1" t="s">
        <v>45</v>
      </c>
      <c r="N458" s="3">
        <v>33</v>
      </c>
      <c r="O458" s="1" t="s">
        <v>52</v>
      </c>
      <c r="Q458" t="str">
        <v>252db2fb-0ccc-42b5-987b-232646bacdf9</v>
      </c>
    </row>
    <row r="459" spans="1:17" ht="13.8">
      <c r="A459" s="1" t="s">
        <v>503</v>
      </c>
      <c r="B459" s="1" t="s">
        <v>16</v>
      </c>
      <c r="C459" s="1" t="s">
        <v>27</v>
      </c>
      <c r="D459" s="2">
        <v>45740</v>
      </c>
      <c r="E459" s="2">
        <v>45936</v>
      </c>
      <c r="F459" s="3">
        <v>0</v>
      </c>
      <c r="G459" s="1" t="s">
        <v>18</v>
      </c>
      <c r="H459" s="1" t="s">
        <v>29</v>
      </c>
      <c r="I459" s="1"/>
      <c r="J459" s="1" t="s">
        <v>30</v>
      </c>
      <c r="K459" s="1" t="s">
        <v>31</v>
      </c>
      <c r="L459" s="1" t="s">
        <v>44</v>
      </c>
      <c r="M459" s="1" t="s">
        <v>36</v>
      </c>
      <c r="N459" s="3">
        <v>40</v>
      </c>
      <c r="O459" s="1" t="s">
        <v>52</v>
      </c>
      <c r="Q459" t="str">
        <v>77195bfd-4603-41a8-b26d-f85c0c7534cd</v>
      </c>
    </row>
    <row r="460" spans="1:17" ht="13.8">
      <c r="A460" s="1" t="s">
        <v>504</v>
      </c>
      <c r="B460" s="1" t="s">
        <v>26</v>
      </c>
      <c r="C460" s="1" t="s">
        <v>27</v>
      </c>
      <c r="D460" s="2">
        <v>45815</v>
      </c>
      <c r="E460" s="2">
        <v>45759</v>
      </c>
      <c r="F460" s="3">
        <v>0</v>
      </c>
      <c r="G460" s="1" t="s">
        <v>18</v>
      </c>
      <c r="H460" s="1" t="s">
        <v>35</v>
      </c>
      <c r="I460" s="1"/>
      <c r="J460" s="1" t="s">
        <v>30</v>
      </c>
      <c r="K460" s="1" t="s">
        <v>40</v>
      </c>
      <c r="L460" s="1" t="s">
        <v>27</v>
      </c>
      <c r="M460" s="1" t="s">
        <v>32</v>
      </c>
      <c r="N460" s="3">
        <v>91</v>
      </c>
      <c r="O460" s="1" t="s">
        <v>24</v>
      </c>
      <c r="Q460" t="str">
        <v>3d72c2e4-9fd1-4ac5-8641-5259bff9f51f</v>
      </c>
    </row>
    <row r="461" spans="1:17" ht="13.8">
      <c r="A461" s="1" t="s">
        <v>505</v>
      </c>
      <c r="B461" s="1" t="s">
        <v>38</v>
      </c>
      <c r="C461" s="1" t="s">
        <v>39</v>
      </c>
      <c r="D461" s="2">
        <v>45744</v>
      </c>
      <c r="E461" s="2">
        <v>45744</v>
      </c>
      <c r="F461" s="3">
        <v>0</v>
      </c>
      <c r="G461" s="1" t="s">
        <v>28</v>
      </c>
      <c r="H461" s="1" t="s">
        <v>29</v>
      </c>
      <c r="I461" s="1"/>
      <c r="J461" s="1" t="s">
        <v>20</v>
      </c>
      <c r="K461" s="1" t="s">
        <v>40</v>
      </c>
      <c r="L461" s="1" t="s">
        <v>41</v>
      </c>
      <c r="M461" s="1" t="s">
        <v>36</v>
      </c>
      <c r="N461" s="3">
        <v>59</v>
      </c>
      <c r="O461" s="1" t="s">
        <v>52</v>
      </c>
      <c r="Q461" t="str">
        <v>0feac74e-d78a-4f5e-92b5-7880f71fe72f</v>
      </c>
    </row>
    <row r="462" spans="1:17" ht="13.8">
      <c r="A462" s="1" t="s">
        <v>506</v>
      </c>
      <c r="B462" s="1" t="s">
        <v>16</v>
      </c>
      <c r="C462" s="1" t="s">
        <v>27</v>
      </c>
      <c r="D462" s="2">
        <v>45926</v>
      </c>
      <c r="E462" s="2">
        <v>45760</v>
      </c>
      <c r="F462" s="3">
        <v>0</v>
      </c>
      <c r="G462" s="1" t="s">
        <v>18</v>
      </c>
      <c r="H462" s="1" t="s">
        <v>29</v>
      </c>
      <c r="I462" s="1"/>
      <c r="J462" s="1" t="s">
        <v>20</v>
      </c>
      <c r="K462" s="1" t="s">
        <v>40</v>
      </c>
      <c r="L462" s="1" t="s">
        <v>44</v>
      </c>
      <c r="M462" s="1" t="s">
        <v>45</v>
      </c>
      <c r="N462" s="3">
        <v>78</v>
      </c>
      <c r="O462" s="1" t="s">
        <v>24</v>
      </c>
      <c r="Q462" t="str">
        <v>da991830-246c-47f4-81a2-dc34020fae10</v>
      </c>
    </row>
    <row r="463" spans="1:17" ht="13.8">
      <c r="A463" s="1" t="s">
        <v>507</v>
      </c>
      <c r="B463" s="1" t="s">
        <v>38</v>
      </c>
      <c r="C463" s="1" t="s">
        <v>27</v>
      </c>
      <c r="D463" s="2">
        <v>45825</v>
      </c>
      <c r="E463" s="2">
        <v>45913</v>
      </c>
      <c r="F463" s="3">
        <v>0</v>
      </c>
      <c r="G463" s="1" t="s">
        <v>28</v>
      </c>
      <c r="H463" s="1" t="s">
        <v>29</v>
      </c>
      <c r="I463" s="1"/>
      <c r="J463" s="1" t="s">
        <v>20</v>
      </c>
      <c r="K463" s="1" t="s">
        <v>40</v>
      </c>
      <c r="L463" s="1" t="s">
        <v>27</v>
      </c>
      <c r="M463" s="1" t="s">
        <v>45</v>
      </c>
      <c r="N463" s="3">
        <v>33</v>
      </c>
      <c r="O463" s="1" t="s">
        <v>52</v>
      </c>
      <c r="Q463" t="str">
        <v>cf058e56-9b40-4001-9002-fc438724d829</v>
      </c>
    </row>
    <row r="464" spans="1:17" ht="13.8">
      <c r="A464" s="1" t="s">
        <v>508</v>
      </c>
      <c r="B464" s="1" t="s">
        <v>38</v>
      </c>
      <c r="C464" s="1" t="s">
        <v>39</v>
      </c>
      <c r="D464" s="2">
        <v>45861</v>
      </c>
      <c r="E464" s="2">
        <v>45861</v>
      </c>
      <c r="F464" s="3">
        <v>0</v>
      </c>
      <c r="G464" s="1" t="s">
        <v>18</v>
      </c>
      <c r="H464" s="1" t="s">
        <v>19</v>
      </c>
      <c r="I464" s="1"/>
      <c r="J464" s="1" t="s">
        <v>30</v>
      </c>
      <c r="K464" s="1" t="s">
        <v>21</v>
      </c>
      <c r="L464" s="1" t="s">
        <v>27</v>
      </c>
      <c r="M464" s="1" t="s">
        <v>45</v>
      </c>
      <c r="N464" s="3">
        <v>75</v>
      </c>
      <c r="O464" s="1" t="s">
        <v>24</v>
      </c>
      <c r="Q464" t="str">
        <v>742424e3-7970-4a90-8c47-de3209a4b880</v>
      </c>
    </row>
    <row r="465" spans="1:17" ht="13.8">
      <c r="A465" s="1" t="s">
        <v>509</v>
      </c>
      <c r="B465" s="1" t="s">
        <v>26</v>
      </c>
      <c r="C465" s="1" t="s">
        <v>27</v>
      </c>
      <c r="D465" s="2">
        <v>45787</v>
      </c>
      <c r="E465" s="2">
        <v>45884</v>
      </c>
      <c r="F465" s="3">
        <v>0</v>
      </c>
      <c r="G465" s="1" t="s">
        <v>34</v>
      </c>
      <c r="H465" s="1" t="s">
        <v>49</v>
      </c>
      <c r="I465" s="1"/>
      <c r="J465" s="1" t="s">
        <v>30</v>
      </c>
      <c r="K465" s="1" t="s">
        <v>31</v>
      </c>
      <c r="L465" s="1" t="s">
        <v>27</v>
      </c>
      <c r="M465" s="1" t="s">
        <v>45</v>
      </c>
      <c r="N465" s="3">
        <v>65</v>
      </c>
      <c r="O465" s="1" t="s">
        <v>24</v>
      </c>
      <c r="Q465" t="str">
        <v>044668fc-1e0f-4225-83f6-4f090f18e2eb</v>
      </c>
    </row>
    <row r="466" spans="1:17" ht="13.8">
      <c r="A466" s="1" t="s">
        <v>510</v>
      </c>
      <c r="B466" s="1" t="s">
        <v>38</v>
      </c>
      <c r="C466" s="1" t="s">
        <v>39</v>
      </c>
      <c r="D466" s="4">
        <v>45941</v>
      </c>
      <c r="E466" s="4">
        <v>45941</v>
      </c>
      <c r="F466" s="3">
        <v>0</v>
      </c>
      <c r="G466" s="1" t="s">
        <v>48</v>
      </c>
      <c r="H466" s="1" t="s">
        <v>35</v>
      </c>
      <c r="I466" s="1"/>
      <c r="J466" s="1" t="s">
        <v>20</v>
      </c>
      <c r="K466" s="1" t="s">
        <v>40</v>
      </c>
      <c r="L466" s="1" t="s">
        <v>41</v>
      </c>
      <c r="M466" s="1" t="s">
        <v>23</v>
      </c>
      <c r="N466" s="3">
        <v>57</v>
      </c>
      <c r="O466" s="1" t="s">
        <v>46</v>
      </c>
      <c r="Q466" t="str">
        <v>10ff1f73-0e8f-450f-bbdb-38850f3e1078</v>
      </c>
    </row>
    <row r="467" spans="1:17" ht="13.8">
      <c r="A467" s="1" t="s">
        <v>511</v>
      </c>
      <c r="B467" s="1" t="s">
        <v>16</v>
      </c>
      <c r="C467" s="1" t="s">
        <v>39</v>
      </c>
      <c r="D467" s="2">
        <v>45838</v>
      </c>
      <c r="E467" s="2">
        <v>45838</v>
      </c>
      <c r="F467" s="3">
        <v>0</v>
      </c>
      <c r="G467" s="1" t="s">
        <v>28</v>
      </c>
      <c r="H467" s="1" t="s">
        <v>49</v>
      </c>
      <c r="I467" s="1"/>
      <c r="J467" s="1" t="s">
        <v>30</v>
      </c>
      <c r="K467" s="1" t="s">
        <v>40</v>
      </c>
      <c r="L467" s="1" t="s">
        <v>22</v>
      </c>
      <c r="M467" s="1" t="s">
        <v>32</v>
      </c>
      <c r="N467" s="3">
        <v>32</v>
      </c>
      <c r="O467" s="1" t="s">
        <v>52</v>
      </c>
      <c r="Q467" t="str">
        <v>3a685e45-86ad-4d47-b24d-1a2b0456b34b</v>
      </c>
    </row>
    <row r="468" spans="1:17" ht="13.8">
      <c r="A468" s="1" t="s">
        <v>512</v>
      </c>
      <c r="B468" s="1" t="s">
        <v>51</v>
      </c>
      <c r="C468" s="1" t="s">
        <v>27</v>
      </c>
      <c r="D468" s="2">
        <v>45726</v>
      </c>
      <c r="E468" s="2">
        <v>45934</v>
      </c>
      <c r="F468" s="3">
        <v>0</v>
      </c>
      <c r="G468" s="1" t="s">
        <v>48</v>
      </c>
      <c r="H468" s="1" t="s">
        <v>35</v>
      </c>
      <c r="I468" s="1"/>
      <c r="J468" s="1" t="s">
        <v>30</v>
      </c>
      <c r="K468" s="1" t="s">
        <v>21</v>
      </c>
      <c r="L468" s="1" t="s">
        <v>41</v>
      </c>
      <c r="M468" s="1" t="s">
        <v>45</v>
      </c>
      <c r="N468" s="3">
        <v>32</v>
      </c>
      <c r="O468" s="1" t="s">
        <v>46</v>
      </c>
      <c r="Q468" t="str">
        <v>134ef0ab-e301-456e-8109-2f3da5aa3385</v>
      </c>
    </row>
    <row r="469" spans="1:17" ht="13.8">
      <c r="A469" s="1" t="s">
        <v>513</v>
      </c>
      <c r="B469" s="1" t="s">
        <v>26</v>
      </c>
      <c r="C469" s="1" t="s">
        <v>27</v>
      </c>
      <c r="D469" s="2">
        <v>45711</v>
      </c>
      <c r="E469" s="2">
        <v>45697</v>
      </c>
      <c r="F469" s="3">
        <v>0</v>
      </c>
      <c r="G469" s="1" t="s">
        <v>28</v>
      </c>
      <c r="H469" s="1" t="s">
        <v>49</v>
      </c>
      <c r="I469" s="1"/>
      <c r="J469" s="1" t="s">
        <v>20</v>
      </c>
      <c r="K469" s="1" t="s">
        <v>43</v>
      </c>
      <c r="L469" s="1" t="s">
        <v>22</v>
      </c>
      <c r="M469" s="1" t="s">
        <v>45</v>
      </c>
      <c r="N469" s="3">
        <v>53</v>
      </c>
      <c r="O469" s="1" t="s">
        <v>24</v>
      </c>
      <c r="Q469" t="str">
        <v>0e067b61-e1b7-47f8-93b5-d56059962c86</v>
      </c>
    </row>
    <row r="470" spans="1:17" ht="13.8">
      <c r="A470" s="1" t="s">
        <v>514</v>
      </c>
      <c r="B470" s="1" t="s">
        <v>38</v>
      </c>
      <c r="C470" s="1" t="s">
        <v>39</v>
      </c>
      <c r="D470" s="2">
        <v>45711</v>
      </c>
      <c r="E470" s="2">
        <v>45711</v>
      </c>
      <c r="F470" s="3">
        <v>0</v>
      </c>
      <c r="G470" s="1" t="s">
        <v>34</v>
      </c>
      <c r="H470" s="1" t="s">
        <v>19</v>
      </c>
      <c r="I470" s="1"/>
      <c r="J470" s="1" t="s">
        <v>20</v>
      </c>
      <c r="K470" s="1" t="s">
        <v>21</v>
      </c>
      <c r="L470" s="1" t="s">
        <v>44</v>
      </c>
      <c r="M470" s="1" t="s">
        <v>23</v>
      </c>
      <c r="N470" s="3">
        <v>72</v>
      </c>
      <c r="O470" s="1" t="s">
        <v>52</v>
      </c>
      <c r="Q470" t="str">
        <v>d319560b-8441-4d4f-aa92-ca3659c5a6d1</v>
      </c>
    </row>
    <row r="471" spans="1:17" ht="13.8">
      <c r="A471" s="1" t="s">
        <v>515</v>
      </c>
      <c r="B471" s="1" t="s">
        <v>26</v>
      </c>
      <c r="C471" s="1" t="s">
        <v>39</v>
      </c>
      <c r="D471" s="2">
        <v>45662</v>
      </c>
      <c r="E471" s="2">
        <v>45662</v>
      </c>
      <c r="F471" s="3">
        <v>0</v>
      </c>
      <c r="G471" s="1" t="s">
        <v>28</v>
      </c>
      <c r="H471" s="1" t="s">
        <v>19</v>
      </c>
      <c r="I471" s="1"/>
      <c r="J471" s="1" t="s">
        <v>20</v>
      </c>
      <c r="K471" s="1" t="s">
        <v>43</v>
      </c>
      <c r="L471" s="1" t="s">
        <v>44</v>
      </c>
      <c r="M471" s="1" t="s">
        <v>45</v>
      </c>
      <c r="N471" s="3">
        <v>73</v>
      </c>
      <c r="O471" s="1" t="s">
        <v>52</v>
      </c>
      <c r="Q471" t="str">
        <v>ba48f08b-0980-4d5b-bfb5-1bfa76271504</v>
      </c>
    </row>
    <row r="472" spans="1:17" ht="13.8">
      <c r="A472" s="1" t="s">
        <v>516</v>
      </c>
      <c r="B472" s="1" t="s">
        <v>16</v>
      </c>
      <c r="C472" s="1" t="s">
        <v>17</v>
      </c>
      <c r="D472" s="2">
        <v>45882</v>
      </c>
      <c r="E472" s="2">
        <v>45790</v>
      </c>
      <c r="F472" s="3">
        <v>4225</v>
      </c>
      <c r="G472" s="1" t="s">
        <v>28</v>
      </c>
      <c r="H472" s="1" t="s">
        <v>35</v>
      </c>
      <c r="I472" s="2">
        <v>45816</v>
      </c>
      <c r="J472" s="1" t="s">
        <v>20</v>
      </c>
      <c r="K472" s="1" t="s">
        <v>31</v>
      </c>
      <c r="L472" s="1" t="s">
        <v>44</v>
      </c>
      <c r="M472" s="1" t="s">
        <v>36</v>
      </c>
      <c r="N472" s="3">
        <v>54</v>
      </c>
      <c r="O472" s="1" t="s">
        <v>24</v>
      </c>
      <c r="Q472" t="str">
        <v>311c426c-df41-44ce-8f7a-09d72b172513</v>
      </c>
    </row>
    <row r="473" spans="1:17" ht="13.8">
      <c r="A473" s="1" t="s">
        <v>517</v>
      </c>
      <c r="B473" s="1" t="s">
        <v>38</v>
      </c>
      <c r="C473" s="1" t="s">
        <v>17</v>
      </c>
      <c r="D473" s="2">
        <v>45876</v>
      </c>
      <c r="E473" s="2">
        <v>45881</v>
      </c>
      <c r="F473" s="3">
        <v>4008</v>
      </c>
      <c r="G473" s="1" t="s">
        <v>28</v>
      </c>
      <c r="H473" s="1" t="s">
        <v>49</v>
      </c>
      <c r="I473" s="2">
        <v>45699</v>
      </c>
      <c r="J473" s="1" t="s">
        <v>30</v>
      </c>
      <c r="K473" s="1" t="s">
        <v>40</v>
      </c>
      <c r="L473" s="1" t="s">
        <v>41</v>
      </c>
      <c r="M473" s="1" t="s">
        <v>32</v>
      </c>
      <c r="N473" s="3">
        <v>92</v>
      </c>
      <c r="O473" s="1" t="s">
        <v>24</v>
      </c>
      <c r="Q473" t="str">
        <v>03cd9597-a7cb-4fb7-bbce-02fb999e266d</v>
      </c>
    </row>
    <row r="474" spans="1:17" ht="13.8">
      <c r="A474" s="1" t="s">
        <v>518</v>
      </c>
      <c r="B474" s="1" t="s">
        <v>38</v>
      </c>
      <c r="C474" s="1" t="s">
        <v>27</v>
      </c>
      <c r="D474" s="2">
        <v>45786</v>
      </c>
      <c r="E474" s="2">
        <v>45884</v>
      </c>
      <c r="F474" s="3">
        <v>0</v>
      </c>
      <c r="G474" s="1" t="s">
        <v>18</v>
      </c>
      <c r="H474" s="1" t="s">
        <v>29</v>
      </c>
      <c r="I474" s="1"/>
      <c r="J474" s="1" t="s">
        <v>30</v>
      </c>
      <c r="K474" s="1" t="s">
        <v>21</v>
      </c>
      <c r="L474" s="1" t="s">
        <v>44</v>
      </c>
      <c r="M474" s="1" t="s">
        <v>36</v>
      </c>
      <c r="N474" s="3">
        <v>61</v>
      </c>
      <c r="O474" s="1" t="s">
        <v>52</v>
      </c>
      <c r="Q474" t="str">
        <v>562f8014-5846-41d9-952d-848022aa0ebe</v>
      </c>
    </row>
    <row r="475" spans="1:17" ht="13.8">
      <c r="A475" s="1" t="s">
        <v>519</v>
      </c>
      <c r="B475" s="1" t="s">
        <v>16</v>
      </c>
      <c r="C475" s="1" t="s">
        <v>27</v>
      </c>
      <c r="D475" s="2">
        <v>45904</v>
      </c>
      <c r="E475" s="2">
        <v>45734</v>
      </c>
      <c r="F475" s="3">
        <v>0</v>
      </c>
      <c r="G475" s="1" t="s">
        <v>48</v>
      </c>
      <c r="H475" s="1" t="s">
        <v>19</v>
      </c>
      <c r="I475" s="1"/>
      <c r="J475" s="1" t="s">
        <v>20</v>
      </c>
      <c r="K475" s="1" t="s">
        <v>31</v>
      </c>
      <c r="L475" s="1" t="s">
        <v>41</v>
      </c>
      <c r="M475" s="1" t="s">
        <v>36</v>
      </c>
      <c r="N475" s="3">
        <v>73</v>
      </c>
      <c r="O475" s="1" t="s">
        <v>24</v>
      </c>
      <c r="Q475" t="str">
        <v>4f1e44a9-bc18-406b-b01f-be7d7208946c</v>
      </c>
    </row>
    <row r="476" spans="1:17" ht="13.8">
      <c r="A476" s="1" t="s">
        <v>520</v>
      </c>
      <c r="B476" s="1" t="s">
        <v>26</v>
      </c>
      <c r="C476" s="1" t="s">
        <v>17</v>
      </c>
      <c r="D476" s="2">
        <v>45844</v>
      </c>
      <c r="E476" s="2">
        <v>45801</v>
      </c>
      <c r="F476" s="3">
        <v>2701</v>
      </c>
      <c r="G476" s="1" t="s">
        <v>28</v>
      </c>
      <c r="H476" s="1" t="s">
        <v>35</v>
      </c>
      <c r="I476" s="2">
        <v>45930</v>
      </c>
      <c r="J476" s="1" t="s">
        <v>30</v>
      </c>
      <c r="K476" s="1" t="s">
        <v>31</v>
      </c>
      <c r="L476" s="1" t="s">
        <v>41</v>
      </c>
      <c r="M476" s="1" t="s">
        <v>45</v>
      </c>
      <c r="N476" s="3">
        <v>36</v>
      </c>
      <c r="O476" s="1" t="s">
        <v>52</v>
      </c>
      <c r="Q476" t="str">
        <v>2064c017-8677-4489-a32d-2a6df2747729</v>
      </c>
    </row>
    <row r="477" spans="1:17" ht="13.8">
      <c r="A477" s="1" t="s">
        <v>521</v>
      </c>
      <c r="B477" s="1" t="s">
        <v>38</v>
      </c>
      <c r="C477" s="1" t="s">
        <v>27</v>
      </c>
      <c r="D477" s="2">
        <v>45883</v>
      </c>
      <c r="E477" s="2">
        <v>45934</v>
      </c>
      <c r="F477" s="3">
        <v>0</v>
      </c>
      <c r="G477" s="1" t="s">
        <v>34</v>
      </c>
      <c r="H477" s="1" t="s">
        <v>19</v>
      </c>
      <c r="I477" s="1"/>
      <c r="J477" s="1" t="s">
        <v>30</v>
      </c>
      <c r="K477" s="1" t="s">
        <v>31</v>
      </c>
      <c r="L477" s="1" t="s">
        <v>41</v>
      </c>
      <c r="M477" s="1" t="s">
        <v>36</v>
      </c>
      <c r="N477" s="3">
        <v>68</v>
      </c>
      <c r="O477" s="1" t="s">
        <v>46</v>
      </c>
      <c r="Q477" t="str">
        <v>02716414-b3bf-410c-a071-1de0f59c7b9b</v>
      </c>
    </row>
    <row r="478" spans="1:17" ht="13.8">
      <c r="A478" s="1" t="s">
        <v>522</v>
      </c>
      <c r="B478" s="1" t="s">
        <v>16</v>
      </c>
      <c r="C478" s="1" t="s">
        <v>17</v>
      </c>
      <c r="D478" s="2">
        <v>45711</v>
      </c>
      <c r="E478" s="2">
        <v>45805</v>
      </c>
      <c r="F478" s="3">
        <v>4384</v>
      </c>
      <c r="G478" s="1" t="s">
        <v>18</v>
      </c>
      <c r="H478" s="1" t="s">
        <v>19</v>
      </c>
      <c r="I478" s="2">
        <v>45871</v>
      </c>
      <c r="J478" s="1" t="s">
        <v>20</v>
      </c>
      <c r="K478" s="1" t="s">
        <v>31</v>
      </c>
      <c r="L478" s="1" t="s">
        <v>22</v>
      </c>
      <c r="M478" s="1" t="s">
        <v>32</v>
      </c>
      <c r="N478" s="3">
        <v>75</v>
      </c>
      <c r="O478" s="1" t="s">
        <v>46</v>
      </c>
      <c r="Q478" t="str">
        <v>79c0eb71-9ba1-4199-adac-8dc50429ca55</v>
      </c>
    </row>
    <row r="479" spans="1:17" ht="13.8">
      <c r="A479" s="1" t="s">
        <v>523</v>
      </c>
      <c r="B479" s="1" t="s">
        <v>38</v>
      </c>
      <c r="C479" s="1" t="s">
        <v>17</v>
      </c>
      <c r="D479" s="4">
        <v>45941</v>
      </c>
      <c r="E479" s="2">
        <v>45817</v>
      </c>
      <c r="F479" s="3">
        <v>3744</v>
      </c>
      <c r="G479" s="1" t="s">
        <v>48</v>
      </c>
      <c r="H479" s="1" t="s">
        <v>29</v>
      </c>
      <c r="I479" s="2">
        <v>45737</v>
      </c>
      <c r="J479" s="1" t="s">
        <v>20</v>
      </c>
      <c r="K479" s="1" t="s">
        <v>43</v>
      </c>
      <c r="L479" s="1" t="s">
        <v>44</v>
      </c>
      <c r="M479" s="1" t="s">
        <v>36</v>
      </c>
      <c r="N479" s="3">
        <v>46</v>
      </c>
      <c r="O479" s="1" t="s">
        <v>52</v>
      </c>
      <c r="Q479" t="str">
        <v>03ff9124-750f-4e8f-9431-5370624108b8</v>
      </c>
    </row>
    <row r="480" spans="1:17" ht="13.8">
      <c r="A480" s="1" t="s">
        <v>524</v>
      </c>
      <c r="B480" s="1" t="s">
        <v>51</v>
      </c>
      <c r="C480" s="1" t="s">
        <v>39</v>
      </c>
      <c r="D480" s="2">
        <v>45939</v>
      </c>
      <c r="E480" s="2">
        <v>45939</v>
      </c>
      <c r="F480" s="3">
        <v>0</v>
      </c>
      <c r="G480" s="1" t="s">
        <v>48</v>
      </c>
      <c r="H480" s="1" t="s">
        <v>19</v>
      </c>
      <c r="I480" s="1"/>
      <c r="J480" s="1" t="s">
        <v>30</v>
      </c>
      <c r="K480" s="1" t="s">
        <v>21</v>
      </c>
      <c r="L480" s="1" t="s">
        <v>41</v>
      </c>
      <c r="M480" s="1" t="s">
        <v>32</v>
      </c>
      <c r="N480" s="3">
        <v>84</v>
      </c>
      <c r="O480" s="1" t="s">
        <v>46</v>
      </c>
      <c r="Q480" t="str">
        <v>f19484fa-28c7-47d1-bafd-24e2398e35a6</v>
      </c>
    </row>
    <row r="481" spans="1:17" ht="13.8">
      <c r="A481" s="1" t="s">
        <v>525</v>
      </c>
      <c r="B481" s="1" t="s">
        <v>51</v>
      </c>
      <c r="C481" s="1" t="s">
        <v>17</v>
      </c>
      <c r="D481" s="2">
        <v>45770</v>
      </c>
      <c r="E481" s="2">
        <v>45853</v>
      </c>
      <c r="F481" s="3">
        <v>2111</v>
      </c>
      <c r="G481" s="1" t="s">
        <v>48</v>
      </c>
      <c r="H481" s="1" t="s">
        <v>29</v>
      </c>
      <c r="I481" s="2">
        <v>45910</v>
      </c>
      <c r="J481" s="1" t="s">
        <v>20</v>
      </c>
      <c r="K481" s="1" t="s">
        <v>31</v>
      </c>
      <c r="L481" s="1" t="s">
        <v>41</v>
      </c>
      <c r="M481" s="1" t="s">
        <v>36</v>
      </c>
      <c r="N481" s="3">
        <v>52</v>
      </c>
      <c r="O481" s="1" t="s">
        <v>24</v>
      </c>
      <c r="Q481" t="str">
        <v>0b9ff4db-72d0-42b8-b491-78ab2a6fc908</v>
      </c>
    </row>
    <row r="482" spans="1:17" ht="13.8">
      <c r="A482" s="1" t="s">
        <v>526</v>
      </c>
      <c r="B482" s="1" t="s">
        <v>38</v>
      </c>
      <c r="C482" s="1" t="s">
        <v>27</v>
      </c>
      <c r="D482" s="2">
        <v>45740</v>
      </c>
      <c r="E482" s="2">
        <v>45780</v>
      </c>
      <c r="F482" s="3">
        <v>0</v>
      </c>
      <c r="G482" s="1" t="s">
        <v>28</v>
      </c>
      <c r="H482" s="1" t="s">
        <v>19</v>
      </c>
      <c r="I482" s="1"/>
      <c r="J482" s="1" t="s">
        <v>20</v>
      </c>
      <c r="K482" s="1" t="s">
        <v>31</v>
      </c>
      <c r="L482" s="1" t="s">
        <v>27</v>
      </c>
      <c r="M482" s="1" t="s">
        <v>45</v>
      </c>
      <c r="N482" s="3">
        <v>50</v>
      </c>
      <c r="O482" s="1" t="s">
        <v>52</v>
      </c>
      <c r="Q482" t="str">
        <v>f2647426-d0d6-4e0f-99f1-1a4dcb858965</v>
      </c>
    </row>
    <row r="483" spans="1:17" ht="13.8">
      <c r="A483" s="1" t="s">
        <v>527</v>
      </c>
      <c r="B483" s="1" t="s">
        <v>51</v>
      </c>
      <c r="C483" s="1" t="s">
        <v>27</v>
      </c>
      <c r="D483" s="2">
        <v>45662</v>
      </c>
      <c r="E483" s="2">
        <v>45675</v>
      </c>
      <c r="F483" s="3">
        <v>0</v>
      </c>
      <c r="G483" s="1" t="s">
        <v>28</v>
      </c>
      <c r="H483" s="1" t="s">
        <v>19</v>
      </c>
      <c r="I483" s="1"/>
      <c r="J483" s="1" t="s">
        <v>30</v>
      </c>
      <c r="K483" s="1" t="s">
        <v>31</v>
      </c>
      <c r="L483" s="1" t="s">
        <v>41</v>
      </c>
      <c r="M483" s="1" t="s">
        <v>32</v>
      </c>
      <c r="N483" s="3">
        <v>80</v>
      </c>
      <c r="O483" s="1" t="s">
        <v>24</v>
      </c>
      <c r="Q483" t="str">
        <v>c1dcf691-bdd2-4466-8386-c807e98def28</v>
      </c>
    </row>
    <row r="484" spans="1:17" ht="13.8">
      <c r="A484" s="1" t="s">
        <v>528</v>
      </c>
      <c r="B484" s="1" t="s">
        <v>38</v>
      </c>
      <c r="C484" s="1" t="s">
        <v>27</v>
      </c>
      <c r="D484" s="2">
        <v>45724</v>
      </c>
      <c r="E484" s="2">
        <v>45842</v>
      </c>
      <c r="F484" s="3">
        <v>0</v>
      </c>
      <c r="G484" s="1" t="s">
        <v>34</v>
      </c>
      <c r="H484" s="1" t="s">
        <v>29</v>
      </c>
      <c r="I484" s="1"/>
      <c r="J484" s="1" t="s">
        <v>30</v>
      </c>
      <c r="K484" s="1" t="s">
        <v>21</v>
      </c>
      <c r="L484" s="1" t="s">
        <v>44</v>
      </c>
      <c r="M484" s="1" t="s">
        <v>45</v>
      </c>
      <c r="N484" s="3">
        <v>56</v>
      </c>
      <c r="O484" s="1" t="s">
        <v>24</v>
      </c>
      <c r="Q484" t="str">
        <v>c97b887c-b6d8-4a48-a349-1768e4f3a585</v>
      </c>
    </row>
    <row r="485" spans="1:17" ht="13.8">
      <c r="A485" s="1" t="s">
        <v>529</v>
      </c>
      <c r="B485" s="1" t="s">
        <v>16</v>
      </c>
      <c r="C485" s="1" t="s">
        <v>27</v>
      </c>
      <c r="D485" s="4">
        <v>45944</v>
      </c>
      <c r="E485" s="2">
        <v>45880</v>
      </c>
      <c r="F485" s="3">
        <v>0</v>
      </c>
      <c r="G485" s="1" t="s">
        <v>18</v>
      </c>
      <c r="H485" s="1" t="s">
        <v>19</v>
      </c>
      <c r="I485" s="1"/>
      <c r="J485" s="1" t="s">
        <v>20</v>
      </c>
      <c r="K485" s="1" t="s">
        <v>43</v>
      </c>
      <c r="L485" s="1" t="s">
        <v>27</v>
      </c>
      <c r="M485" s="1" t="s">
        <v>32</v>
      </c>
      <c r="N485" s="3">
        <v>94</v>
      </c>
      <c r="O485" s="1" t="s">
        <v>52</v>
      </c>
      <c r="Q485" t="str">
        <v>8271b3db-81ed-46f5-afdc-b8d38bb1a2f2</v>
      </c>
    </row>
    <row r="486" spans="1:17" ht="13.8">
      <c r="A486" s="1" t="s">
        <v>530</v>
      </c>
      <c r="B486" s="1" t="s">
        <v>51</v>
      </c>
      <c r="C486" s="1" t="s">
        <v>17</v>
      </c>
      <c r="D486" s="2">
        <v>45749</v>
      </c>
      <c r="E486" s="2">
        <v>45817</v>
      </c>
      <c r="F486" s="3">
        <v>4085</v>
      </c>
      <c r="G486" s="1" t="s">
        <v>28</v>
      </c>
      <c r="H486" s="1" t="s">
        <v>19</v>
      </c>
      <c r="I486" s="2">
        <v>45775</v>
      </c>
      <c r="J486" s="1" t="s">
        <v>30</v>
      </c>
      <c r="K486" s="1" t="s">
        <v>40</v>
      </c>
      <c r="L486" s="1" t="s">
        <v>27</v>
      </c>
      <c r="M486" s="1" t="s">
        <v>45</v>
      </c>
      <c r="N486" s="3">
        <v>59</v>
      </c>
      <c r="O486" s="1" t="s">
        <v>52</v>
      </c>
      <c r="Q486" t="str">
        <v>f7006e6d-13d0-42f6-b991-c3abc2037395</v>
      </c>
    </row>
    <row r="487" spans="1:17" ht="13.8">
      <c r="A487" s="1" t="s">
        <v>531</v>
      </c>
      <c r="B487" s="1" t="s">
        <v>16</v>
      </c>
      <c r="C487" s="1" t="s">
        <v>39</v>
      </c>
      <c r="D487" s="2">
        <v>45819</v>
      </c>
      <c r="E487" s="2">
        <v>45819</v>
      </c>
      <c r="F487" s="3">
        <v>0</v>
      </c>
      <c r="G487" s="1" t="s">
        <v>48</v>
      </c>
      <c r="H487" s="1" t="s">
        <v>29</v>
      </c>
      <c r="I487" s="1"/>
      <c r="J487" s="1" t="s">
        <v>30</v>
      </c>
      <c r="K487" s="1" t="s">
        <v>21</v>
      </c>
      <c r="L487" s="1" t="s">
        <v>22</v>
      </c>
      <c r="M487" s="1" t="s">
        <v>45</v>
      </c>
      <c r="N487" s="3">
        <v>60</v>
      </c>
      <c r="O487" s="1" t="s">
        <v>52</v>
      </c>
      <c r="Q487" t="str">
        <v>d723ba6c-bfae-477e-98e7-fdcdd0150357</v>
      </c>
    </row>
    <row r="488" spans="1:17" ht="13.8">
      <c r="A488" s="1" t="s">
        <v>532</v>
      </c>
      <c r="B488" s="1" t="s">
        <v>38</v>
      </c>
      <c r="C488" s="1" t="s">
        <v>27</v>
      </c>
      <c r="D488" s="2">
        <v>45882</v>
      </c>
      <c r="E488" s="2">
        <v>45831</v>
      </c>
      <c r="F488" s="3">
        <v>0</v>
      </c>
      <c r="G488" s="1" t="s">
        <v>18</v>
      </c>
      <c r="H488" s="1" t="s">
        <v>49</v>
      </c>
      <c r="I488" s="1"/>
      <c r="J488" s="1" t="s">
        <v>30</v>
      </c>
      <c r="K488" s="1" t="s">
        <v>21</v>
      </c>
      <c r="L488" s="1" t="s">
        <v>41</v>
      </c>
      <c r="M488" s="1" t="s">
        <v>32</v>
      </c>
      <c r="N488" s="3">
        <v>91</v>
      </c>
      <c r="O488" s="1" t="s">
        <v>52</v>
      </c>
      <c r="Q488" t="str">
        <v>ab9a0d16-41dd-4d0f-9a90-11f86cd91325</v>
      </c>
    </row>
    <row r="489" spans="1:17" ht="13.8">
      <c r="A489" s="1" t="s">
        <v>533</v>
      </c>
      <c r="B489" s="1" t="s">
        <v>51</v>
      </c>
      <c r="C489" s="1" t="s">
        <v>17</v>
      </c>
      <c r="D489" s="2">
        <v>45842</v>
      </c>
      <c r="E489" s="2">
        <v>45667</v>
      </c>
      <c r="F489" s="3">
        <v>4943</v>
      </c>
      <c r="G489" s="1" t="s">
        <v>34</v>
      </c>
      <c r="H489" s="1" t="s">
        <v>49</v>
      </c>
      <c r="I489" s="2">
        <v>45877</v>
      </c>
      <c r="J489" s="1" t="s">
        <v>30</v>
      </c>
      <c r="K489" s="1" t="s">
        <v>40</v>
      </c>
      <c r="L489" s="1" t="s">
        <v>27</v>
      </c>
      <c r="M489" s="1" t="s">
        <v>36</v>
      </c>
      <c r="N489" s="3">
        <v>61</v>
      </c>
      <c r="O489" s="1" t="s">
        <v>24</v>
      </c>
      <c r="Q489" t="str">
        <v>2163b1a7-e8c0-4cd9-9ef8-b1e0753737eb</v>
      </c>
    </row>
    <row r="490" spans="1:17" ht="13.8">
      <c r="A490" s="1" t="s">
        <v>534</v>
      </c>
      <c r="B490" s="1" t="s">
        <v>38</v>
      </c>
      <c r="C490" s="1" t="s">
        <v>17</v>
      </c>
      <c r="D490" s="2">
        <v>45853</v>
      </c>
      <c r="E490" s="2">
        <v>45866</v>
      </c>
      <c r="F490" s="3">
        <v>4649</v>
      </c>
      <c r="G490" s="1" t="s">
        <v>18</v>
      </c>
      <c r="H490" s="1" t="s">
        <v>49</v>
      </c>
      <c r="I490" s="2">
        <v>45672</v>
      </c>
      <c r="J490" s="1" t="s">
        <v>30</v>
      </c>
      <c r="K490" s="1" t="s">
        <v>31</v>
      </c>
      <c r="L490" s="1" t="s">
        <v>41</v>
      </c>
      <c r="M490" s="1" t="s">
        <v>23</v>
      </c>
      <c r="N490" s="3">
        <v>79</v>
      </c>
      <c r="O490" s="1" t="s">
        <v>46</v>
      </c>
      <c r="Q490" t="str">
        <v>d018d6c9-3722-4632-b315-203f18766b4e</v>
      </c>
    </row>
    <row r="491" spans="1:17" ht="13.8">
      <c r="A491" s="1" t="s">
        <v>535</v>
      </c>
      <c r="B491" s="1" t="s">
        <v>26</v>
      </c>
      <c r="C491" s="1" t="s">
        <v>17</v>
      </c>
      <c r="D491" s="2">
        <v>45877</v>
      </c>
      <c r="E491" s="2">
        <v>45700</v>
      </c>
      <c r="F491" s="3">
        <v>2417</v>
      </c>
      <c r="G491" s="1" t="s">
        <v>34</v>
      </c>
      <c r="H491" s="1" t="s">
        <v>29</v>
      </c>
      <c r="I491" s="2">
        <v>45728</v>
      </c>
      <c r="J491" s="1" t="s">
        <v>20</v>
      </c>
      <c r="K491" s="1" t="s">
        <v>31</v>
      </c>
      <c r="L491" s="1" t="s">
        <v>44</v>
      </c>
      <c r="M491" s="1" t="s">
        <v>45</v>
      </c>
      <c r="N491" s="3">
        <v>66</v>
      </c>
      <c r="O491" s="1" t="s">
        <v>24</v>
      </c>
      <c r="Q491" t="str">
        <v>0dd899ad-6891-4964-8b6f-9078c1cd9311</v>
      </c>
    </row>
    <row r="492" spans="1:17" ht="13.8">
      <c r="A492" s="1" t="s">
        <v>536</v>
      </c>
      <c r="B492" s="1" t="s">
        <v>16</v>
      </c>
      <c r="C492" s="1" t="s">
        <v>27</v>
      </c>
      <c r="D492" s="2">
        <v>45749</v>
      </c>
      <c r="E492" s="2">
        <v>45889</v>
      </c>
      <c r="F492" s="3">
        <v>0</v>
      </c>
      <c r="G492" s="1" t="s">
        <v>18</v>
      </c>
      <c r="H492" s="1" t="s">
        <v>49</v>
      </c>
      <c r="I492" s="1"/>
      <c r="J492" s="1" t="s">
        <v>20</v>
      </c>
      <c r="K492" s="1" t="s">
        <v>21</v>
      </c>
      <c r="L492" s="1" t="s">
        <v>22</v>
      </c>
      <c r="M492" s="1" t="s">
        <v>32</v>
      </c>
      <c r="N492" s="3">
        <v>30</v>
      </c>
      <c r="O492" s="1" t="s">
        <v>52</v>
      </c>
      <c r="Q492" t="str">
        <v>37a1a462-17d4-45ae-82b1-748c4414923b</v>
      </c>
    </row>
    <row r="493" spans="1:17" ht="13.8">
      <c r="A493" s="1" t="s">
        <v>537</v>
      </c>
      <c r="B493" s="1" t="s">
        <v>26</v>
      </c>
      <c r="C493" s="1" t="s">
        <v>27</v>
      </c>
      <c r="D493" s="2">
        <v>45817</v>
      </c>
      <c r="E493" s="2">
        <v>45739</v>
      </c>
      <c r="F493" s="3">
        <v>0</v>
      </c>
      <c r="G493" s="1" t="s">
        <v>48</v>
      </c>
      <c r="H493" s="1" t="s">
        <v>19</v>
      </c>
      <c r="I493" s="1"/>
      <c r="J493" s="1" t="s">
        <v>20</v>
      </c>
      <c r="K493" s="1" t="s">
        <v>40</v>
      </c>
      <c r="L493" s="1" t="s">
        <v>22</v>
      </c>
      <c r="M493" s="1" t="s">
        <v>32</v>
      </c>
      <c r="N493" s="3">
        <v>39</v>
      </c>
      <c r="O493" s="1" t="s">
        <v>52</v>
      </c>
      <c r="Q493" t="str">
        <v>bf45a38c-b950-4892-97f6-93897f4de478</v>
      </c>
    </row>
    <row r="494" spans="1:17" ht="13.8">
      <c r="A494" s="1" t="s">
        <v>538</v>
      </c>
      <c r="B494" s="1" t="s">
        <v>26</v>
      </c>
      <c r="C494" s="1" t="s">
        <v>17</v>
      </c>
      <c r="D494" s="2">
        <v>45853</v>
      </c>
      <c r="E494" s="2">
        <v>45881</v>
      </c>
      <c r="F494" s="3">
        <v>2332</v>
      </c>
      <c r="G494" s="1" t="s">
        <v>34</v>
      </c>
      <c r="H494" s="1" t="s">
        <v>19</v>
      </c>
      <c r="I494" s="4">
        <v>45944</v>
      </c>
      <c r="J494" s="1" t="s">
        <v>20</v>
      </c>
      <c r="K494" s="1" t="s">
        <v>21</v>
      </c>
      <c r="L494" s="1" t="s">
        <v>22</v>
      </c>
      <c r="M494" s="1" t="s">
        <v>23</v>
      </c>
      <c r="N494" s="3">
        <v>67</v>
      </c>
      <c r="O494" s="1" t="s">
        <v>52</v>
      </c>
      <c r="Q494" t="str">
        <v>93fe3cad-3a32-4aca-840f-f147f7e8ac06</v>
      </c>
    </row>
    <row r="495" spans="1:17" ht="13.8">
      <c r="A495" s="1" t="s">
        <v>539</v>
      </c>
      <c r="B495" s="1" t="s">
        <v>26</v>
      </c>
      <c r="C495" s="1" t="s">
        <v>17</v>
      </c>
      <c r="D495" s="2">
        <v>45775</v>
      </c>
      <c r="E495" s="2">
        <v>45690</v>
      </c>
      <c r="F495" s="3">
        <v>4438</v>
      </c>
      <c r="G495" s="1" t="s">
        <v>28</v>
      </c>
      <c r="H495" s="1" t="s">
        <v>49</v>
      </c>
      <c r="I495" s="2">
        <v>45771</v>
      </c>
      <c r="J495" s="1" t="s">
        <v>30</v>
      </c>
      <c r="K495" s="1" t="s">
        <v>43</v>
      </c>
      <c r="L495" s="1" t="s">
        <v>44</v>
      </c>
      <c r="M495" s="1" t="s">
        <v>32</v>
      </c>
      <c r="N495" s="3">
        <v>44</v>
      </c>
      <c r="O495" s="1" t="s">
        <v>46</v>
      </c>
      <c r="Q495" t="str">
        <v>78f0e130-07f4-4613-96a2-94eabc861acd</v>
      </c>
    </row>
    <row r="496" spans="1:17" ht="13.8">
      <c r="A496" s="1" t="s">
        <v>540</v>
      </c>
      <c r="B496" s="1" t="s">
        <v>26</v>
      </c>
      <c r="C496" s="1" t="s">
        <v>17</v>
      </c>
      <c r="D496" s="2">
        <v>45859</v>
      </c>
      <c r="E496" s="2">
        <v>45837</v>
      </c>
      <c r="F496" s="3">
        <v>3300</v>
      </c>
      <c r="G496" s="1" t="s">
        <v>28</v>
      </c>
      <c r="H496" s="1" t="s">
        <v>29</v>
      </c>
      <c r="I496" s="2">
        <v>45772</v>
      </c>
      <c r="J496" s="1" t="s">
        <v>20</v>
      </c>
      <c r="K496" s="1" t="s">
        <v>21</v>
      </c>
      <c r="L496" s="1" t="s">
        <v>41</v>
      </c>
      <c r="M496" s="1" t="s">
        <v>32</v>
      </c>
      <c r="N496" s="3">
        <v>58</v>
      </c>
      <c r="O496" s="1" t="s">
        <v>24</v>
      </c>
      <c r="Q496" t="str">
        <v>89b34cc8-6645-4c83-8e62-193eb9780f8c</v>
      </c>
    </row>
    <row r="497" spans="1:17" ht="13.8">
      <c r="A497" s="1" t="s">
        <v>541</v>
      </c>
      <c r="B497" s="1" t="s">
        <v>51</v>
      </c>
      <c r="C497" s="1" t="s">
        <v>39</v>
      </c>
      <c r="D497" s="2">
        <v>45910</v>
      </c>
      <c r="E497" s="2">
        <v>45910</v>
      </c>
      <c r="F497" s="3">
        <v>0</v>
      </c>
      <c r="G497" s="1" t="s">
        <v>18</v>
      </c>
      <c r="H497" s="1" t="s">
        <v>49</v>
      </c>
      <c r="I497" s="1"/>
      <c r="J497" s="1" t="s">
        <v>20</v>
      </c>
      <c r="K497" s="1" t="s">
        <v>43</v>
      </c>
      <c r="L497" s="1" t="s">
        <v>44</v>
      </c>
      <c r="M497" s="1" t="s">
        <v>36</v>
      </c>
      <c r="N497" s="3">
        <v>58</v>
      </c>
      <c r="O497" s="1" t="s">
        <v>24</v>
      </c>
      <c r="Q497" t="str">
        <v>4658a3b9-063f-4a9e-a64f-4eb3a0a9f783</v>
      </c>
    </row>
    <row r="498" spans="1:17" ht="13.8">
      <c r="A498" s="1" t="s">
        <v>542</v>
      </c>
      <c r="B498" s="1" t="s">
        <v>26</v>
      </c>
      <c r="C498" s="1" t="s">
        <v>17</v>
      </c>
      <c r="D498" s="2">
        <v>45844</v>
      </c>
      <c r="E498" s="2">
        <v>45917</v>
      </c>
      <c r="F498" s="3">
        <v>2284</v>
      </c>
      <c r="G498" s="1" t="s">
        <v>34</v>
      </c>
      <c r="H498" s="1" t="s">
        <v>49</v>
      </c>
      <c r="I498" s="2">
        <v>45753</v>
      </c>
      <c r="J498" s="1" t="s">
        <v>30</v>
      </c>
      <c r="K498" s="1" t="s">
        <v>21</v>
      </c>
      <c r="L498" s="1" t="s">
        <v>41</v>
      </c>
      <c r="M498" s="1" t="s">
        <v>45</v>
      </c>
      <c r="N498" s="3">
        <v>33</v>
      </c>
      <c r="O498" s="1" t="s">
        <v>24</v>
      </c>
      <c r="Q498" t="str">
        <v>a2c14eca-ca7e-42e0-9cf1-78a9f55e5c9d</v>
      </c>
    </row>
    <row r="499" spans="1:17" ht="13.8">
      <c r="A499" s="1" t="s">
        <v>543</v>
      </c>
      <c r="B499" s="1" t="s">
        <v>26</v>
      </c>
      <c r="C499" s="1" t="s">
        <v>27</v>
      </c>
      <c r="D499" s="2">
        <v>45693</v>
      </c>
      <c r="E499" s="2">
        <v>45857</v>
      </c>
      <c r="F499" s="3">
        <v>0</v>
      </c>
      <c r="G499" s="1" t="s">
        <v>28</v>
      </c>
      <c r="H499" s="1" t="s">
        <v>49</v>
      </c>
      <c r="I499" s="1"/>
      <c r="J499" s="1" t="s">
        <v>30</v>
      </c>
      <c r="K499" s="1" t="s">
        <v>40</v>
      </c>
      <c r="L499" s="1" t="s">
        <v>41</v>
      </c>
      <c r="M499" s="1" t="s">
        <v>32</v>
      </c>
      <c r="N499" s="3">
        <v>32</v>
      </c>
      <c r="O499" s="1" t="s">
        <v>52</v>
      </c>
      <c r="Q499" t="str">
        <v>873654cc-ce2a-4a22-b72d-e82f0aaf71db</v>
      </c>
    </row>
    <row r="500" spans="1:17" ht="13.8">
      <c r="A500" s="1" t="s">
        <v>544</v>
      </c>
      <c r="B500" s="1" t="s">
        <v>26</v>
      </c>
      <c r="C500" s="1" t="s">
        <v>27</v>
      </c>
      <c r="D500" s="2">
        <v>45730</v>
      </c>
      <c r="E500" s="2">
        <v>45789</v>
      </c>
      <c r="F500" s="3">
        <v>0</v>
      </c>
      <c r="G500" s="1" t="s">
        <v>18</v>
      </c>
      <c r="H500" s="1" t="s">
        <v>49</v>
      </c>
      <c r="I500" s="1"/>
      <c r="J500" s="1" t="s">
        <v>30</v>
      </c>
      <c r="K500" s="1" t="s">
        <v>43</v>
      </c>
      <c r="L500" s="1" t="s">
        <v>22</v>
      </c>
      <c r="M500" s="1" t="s">
        <v>32</v>
      </c>
      <c r="N500" s="3">
        <v>36</v>
      </c>
      <c r="O500" s="1" t="s">
        <v>52</v>
      </c>
      <c r="Q500" t="str">
        <v>27a88f71-acd8-460b-84fd-4395d5d96c81</v>
      </c>
    </row>
    <row r="501" spans="1:17" ht="13.8">
      <c r="A501" s="1" t="s">
        <v>545</v>
      </c>
      <c r="B501" s="1" t="s">
        <v>16</v>
      </c>
      <c r="C501" s="1" t="s">
        <v>27</v>
      </c>
      <c r="D501" s="2">
        <v>45691</v>
      </c>
      <c r="E501" s="2">
        <v>45664</v>
      </c>
      <c r="F501" s="3">
        <v>0</v>
      </c>
      <c r="G501" s="1" t="s">
        <v>48</v>
      </c>
      <c r="H501" s="1" t="s">
        <v>19</v>
      </c>
      <c r="I501" s="1"/>
      <c r="J501" s="1" t="s">
        <v>20</v>
      </c>
      <c r="K501" s="1" t="s">
        <v>31</v>
      </c>
      <c r="L501" s="1" t="s">
        <v>44</v>
      </c>
      <c r="M501" s="1" t="s">
        <v>23</v>
      </c>
      <c r="N501" s="3">
        <v>78</v>
      </c>
      <c r="O501" s="1" t="s">
        <v>52</v>
      </c>
      <c r="Q501" t="str">
        <v>bfa7aef8-6ec6-44dd-a9ac-784d6c88a119</v>
      </c>
    </row>
    <row r="502" spans="1:17" ht="15.75" customHeight="1">
      <c r="Q502" t="str">
        <v>fa15da99-73a3-4485-9690-829fa3d59d8d</v>
      </c>
    </row>
    <row r="503" spans="1:17" ht="15.75" customHeight="1">
      <c r="Q503" t="str">
        <v>a9227143-39c3-490c-98f3-5b9754e4440f</v>
      </c>
    </row>
    <row r="504" spans="1:17" ht="15.75" customHeight="1">
      <c r="Q504" t="str">
        <v>81513966-deab-4ec2-978a-1934e384a128</v>
      </c>
    </row>
    <row r="505" spans="1:17" ht="15.75" customHeight="1">
      <c r="Q505" t="str">
        <v>00b74fc9-9b1c-4823-b43a-dc659570a8eb</v>
      </c>
    </row>
    <row r="506" spans="1:17" ht="15.75" customHeight="1">
      <c r="Q506" t="str">
        <v>365a91e8-ef64-43a2-b2e9-cc4f0bc09b2d</v>
      </c>
    </row>
    <row r="507" spans="1:17" ht="15.75" customHeight="1">
      <c r="Q507" t="str">
        <v>6c93a5d7-9e80-4a87-8fb2-ad812f8444ee</v>
      </c>
    </row>
    <row r="508" spans="1:17" ht="15.75" customHeight="1">
      <c r="Q508" t="str">
        <v>7bbf9a26-6b15-4c87-b4fc-e2c3fb475541</v>
      </c>
    </row>
    <row r="509" spans="1:17" ht="15.75" customHeight="1">
      <c r="Q509" t="str">
        <v>81da66fe-1cfb-4cb6-9d28-c3a9679893b9</v>
      </c>
    </row>
    <row r="510" spans="1:17" ht="15.75" customHeight="1">
      <c r="Q510" t="str">
        <v>8aff68b9-047a-45ac-823f-a85abbb4263f</v>
      </c>
    </row>
    <row r="511" spans="1:17" ht="15.75" customHeight="1">
      <c r="Q511" t="str">
        <v>9aed7f65-add7-40f8-81b0-231031c25cbc</v>
      </c>
    </row>
    <row r="512" spans="1:17" ht="15.75" customHeight="1">
      <c r="Q512" t="str">
        <v>bff1adc4-a35d-4c49-9de2-48d465ebede1</v>
      </c>
    </row>
    <row r="513" spans="17:17" ht="15.75" customHeight="1">
      <c r="Q513" t="str">
        <v>2bf2a3b3-efd0-4e70-831b-d4830aa1ea8a</v>
      </c>
    </row>
    <row r="514" spans="17:17" ht="15.75" customHeight="1">
      <c r="Q514" t="str">
        <v>702715ab-50f1-4854-9f33-5f2a71773112</v>
      </c>
    </row>
    <row r="515" spans="17:17" ht="15.75" customHeight="1">
      <c r="Q515" t="str">
        <v>115f7abd-d43c-41c4-af81-27757176e47d</v>
      </c>
    </row>
    <row r="516" spans="17:17" ht="15.75" customHeight="1">
      <c r="Q516" t="str">
        <v>3bdb9069-c2ec-4eab-981a-4197abd7864d</v>
      </c>
    </row>
    <row r="517" spans="17:17" ht="15.75" customHeight="1">
      <c r="Q517" t="str">
        <v>271c8137-971d-46b0-96ed-e8210feb8334</v>
      </c>
    </row>
    <row r="518" spans="17:17" ht="15.75" customHeight="1">
      <c r="Q518" t="str">
        <v>f51637b0-f0bc-4f7f-9e92-724a2d492920</v>
      </c>
    </row>
    <row r="519" spans="17:17" ht="15.75" customHeight="1">
      <c r="Q519" t="str">
        <v>e708caf7-6b13-4a84-9891-94163c3be57e</v>
      </c>
    </row>
    <row r="520" spans="17:17" ht="15.75" customHeight="1">
      <c r="Q520" t="str">
        <v>d0ca85ec-5778-4fe8-9444-55ccbe3fd37e</v>
      </c>
    </row>
    <row r="521" spans="17:17" ht="15.75" customHeight="1">
      <c r="Q521" t="str">
        <v>23afc889-0872-4019-bea0-faec3eb8660e</v>
      </c>
    </row>
    <row r="522" spans="17:17" ht="15.75" customHeight="1">
      <c r="Q522" t="str">
        <v>4ad09754-60b9-443c-a269-bc17d7272153</v>
      </c>
    </row>
    <row r="523" spans="17:17" ht="15.75" customHeight="1">
      <c r="Q523" t="str">
        <v>32784d7f-c349-4972-a906-d767b7d781ee</v>
      </c>
    </row>
    <row r="524" spans="17:17" ht="15.75" customHeight="1">
      <c r="Q524" t="str">
        <v>b5f778cb-1037-4641-891d-7054ca0ab9d6</v>
      </c>
    </row>
    <row r="525" spans="17:17" ht="15.75" customHeight="1">
      <c r="Q525" t="str">
        <v>d715714e-e196-4316-9647-8806357dafdd</v>
      </c>
    </row>
    <row r="526" spans="17:17" ht="15.75" customHeight="1">
      <c r="Q526" t="str">
        <v>d24f5c5c-6b03-4e58-b917-d428720feca7</v>
      </c>
    </row>
    <row r="527" spans="17:17" ht="15.75" customHeight="1">
      <c r="Q527" t="str">
        <v>5bdd4c63-7497-4628-a99f-ec8cf79a0377</v>
      </c>
    </row>
    <row r="528" spans="17:17" ht="15.75" customHeight="1">
      <c r="Q528" t="str">
        <v>d0d99d90-52e4-4989-a276-c10838bd1918</v>
      </c>
    </row>
    <row r="529" spans="17:17" ht="15.75" customHeight="1">
      <c r="Q529" t="str">
        <v>40496de0-e5fe-4949-ba29-5911f90d036b</v>
      </c>
    </row>
    <row r="530" spans="17:17" ht="15.75" customHeight="1">
      <c r="Q530" t="str">
        <v>39773e65-d091-412f-b0c7-cd209cca0beb</v>
      </c>
    </row>
    <row r="531" spans="17:17" ht="15.75" customHeight="1">
      <c r="Q531" t="str">
        <v>51f16662-ad49-425d-8f68-ab58da6f9896</v>
      </c>
    </row>
    <row r="532" spans="17:17" ht="15.75" customHeight="1">
      <c r="Q532" t="str">
        <v>3256af96-143c-46a5-b453-9c54bac2d5e3</v>
      </c>
    </row>
    <row r="533" spans="17:17" ht="15.75" customHeight="1">
      <c r="Q533" t="str">
        <v>0cf725c4-27dd-4f2b-9aeb-fcf3add652ac</v>
      </c>
    </row>
    <row r="534" spans="17:17" ht="15.75" customHeight="1">
      <c r="Q534" t="str">
        <v>a7074d19-8d24-46c8-9fe0-c92580988020</v>
      </c>
    </row>
    <row r="535" spans="17:17" ht="15.75" customHeight="1">
      <c r="Q535" t="str">
        <v>f9fa8c97-83cb-4145-960a-8da9b1d5b65f</v>
      </c>
    </row>
    <row r="536" spans="17:17" ht="15.75" customHeight="1">
      <c r="Q536" t="str">
        <v>4a688be6-8040-407f-b4c2-b46907346feb</v>
      </c>
    </row>
    <row r="537" spans="17:17" ht="15.75" customHeight="1">
      <c r="Q537" t="str">
        <v>c6ac3765-7362-4c5b-919d-ed90677237fb</v>
      </c>
    </row>
    <row r="538" spans="17:17" ht="15.75" customHeight="1">
      <c r="Q538" t="str">
        <v>e9d2da49-30e6-486c-825b-24a210698cc7</v>
      </c>
    </row>
    <row r="539" spans="17:17" ht="15.75" customHeight="1">
      <c r="Q539" t="str">
        <v>84bd8789-9e63-4cd3-b225-e1d1d2c70237</v>
      </c>
    </row>
    <row r="540" spans="17:17" ht="15.75" customHeight="1">
      <c r="Q540" t="str">
        <v>c4ca3024-d968-4310-8376-356a672d7407</v>
      </c>
    </row>
    <row r="541" spans="17:17" ht="15.75" customHeight="1">
      <c r="Q541" t="str">
        <v>0131e0b7-242b-4fe7-b407-c96a2ec27b51</v>
      </c>
    </row>
    <row r="542" spans="17:17" ht="15.75" customHeight="1">
      <c r="Q542" t="str">
        <v>246c0cdc-8535-49af-84f3-f7e04a4472d5</v>
      </c>
    </row>
    <row r="543" spans="17:17" ht="15.75" customHeight="1">
      <c r="Q543" t="str">
        <v>39980f23-dfa7-43ac-a586-8bd148edfafe</v>
      </c>
    </row>
    <row r="544" spans="17:17" ht="15.75" customHeight="1">
      <c r="Q544" t="str">
        <v>9034ea9e-fd7e-4b95-90bc-d58607900225</v>
      </c>
    </row>
    <row r="545" spans="17:17" ht="15.75" customHeight="1">
      <c r="Q545" t="str">
        <v>af232fb9-c0df-469b-be49-05869ce1ab0f</v>
      </c>
    </row>
    <row r="546" spans="17:17" ht="15.75" customHeight="1">
      <c r="Q546" t="str">
        <v>ab6f68cd-2a88-4602-85ff-ee1a3731f5aa</v>
      </c>
    </row>
    <row r="547" spans="17:17" ht="15.75" customHeight="1">
      <c r="Q547" t="str">
        <v>7b97efff-a6c2-4249-a6b6-4fa0305bd98c</v>
      </c>
    </row>
    <row r="548" spans="17:17" ht="15.75" customHeight="1">
      <c r="Q548" t="str">
        <v>8c81f59d-cb23-4163-8a7e-3066b6037ec3</v>
      </c>
    </row>
    <row r="549" spans="17:17" ht="15.75" customHeight="1">
      <c r="Q549" t="str">
        <v>6533dcc4-e2a7-4fe9-89cc-b1b83a9f8a36</v>
      </c>
    </row>
    <row r="550" spans="17:17" ht="15.75" customHeight="1">
      <c r="Q550" t="str">
        <v>98d55742-37c6-4390-87ec-617de63be054</v>
      </c>
    </row>
    <row r="551" spans="17:17" ht="15.75" customHeight="1">
      <c r="Q551" t="str">
        <v>7b8974a4-e7f2-443c-96ae-3a6898702ab4</v>
      </c>
    </row>
    <row r="552" spans="17:17" ht="15.75" customHeight="1">
      <c r="Q552" t="str">
        <v>08363d09-5176-4fa9-a2aa-10f6f1d11d2d</v>
      </c>
    </row>
    <row r="553" spans="17:17" ht="15.75" customHeight="1">
      <c r="Q553" t="str">
        <v>e1fbcbcd-c9c7-4442-b678-91f18651598a</v>
      </c>
    </row>
    <row r="554" spans="17:17" ht="15.75" customHeight="1">
      <c r="Q554" t="str">
        <v>ebe23c0d-50af-443c-8487-576057e50f21</v>
      </c>
    </row>
    <row r="555" spans="17:17" ht="15.75" customHeight="1">
      <c r="Q555" t="str">
        <v>36b866d6-2c80-4ea7-8533-0f99cf660f37</v>
      </c>
    </row>
    <row r="556" spans="17:17" ht="15.75" customHeight="1">
      <c r="Q556" t="str">
        <v>8038ed2e-ba32-4256-9eb3-c52efc300ea1</v>
      </c>
    </row>
    <row r="557" spans="17:17" ht="15.75" customHeight="1">
      <c r="Q557" t="str">
        <v>e1dcc406-21a7-4228-a1a7-6793075425dc</v>
      </c>
    </row>
    <row r="558" spans="17:17" ht="15.75" customHeight="1">
      <c r="Q558" t="str">
        <v>7b44c3bc-baf9-4199-bf12-b51f44816f04</v>
      </c>
    </row>
    <row r="559" spans="17:17" ht="15.75" customHeight="1">
      <c r="Q559" t="str">
        <v>f1acbda2-2db3-47ac-b773-178df0dcd8e0</v>
      </c>
    </row>
    <row r="560" spans="17:17" ht="15.75" customHeight="1">
      <c r="Q560" t="str">
        <v>8416ace1-8f82-4a96-9504-49cdd6e0fa36</v>
      </c>
    </row>
    <row r="561" spans="17:17" ht="15.75" customHeight="1">
      <c r="Q561" t="str">
        <v>529ddaf1-1376-4a6c-9a2e-b3343b9034cd</v>
      </c>
    </row>
    <row r="562" spans="17:17" ht="15.75" customHeight="1">
      <c r="Q562" t="str">
        <v>12e94d87-181f-4aaf-9b93-3340256fbef0</v>
      </c>
    </row>
    <row r="563" spans="17:17" ht="15.75" customHeight="1">
      <c r="Q563" t="str">
        <v>29586a21-1b14-4400-8464-58108cdade64</v>
      </c>
    </row>
    <row r="564" spans="17:17" ht="15.75" customHeight="1">
      <c r="Q564" t="str">
        <v>82628e5c-4996-4376-b68f-d70d87bed6af</v>
      </c>
    </row>
    <row r="565" spans="17:17" ht="15.75" customHeight="1">
      <c r="Q565" t="str">
        <v>da33a5a3-e819-4e89-b306-e8478112c265</v>
      </c>
    </row>
    <row r="566" spans="17:17" ht="15.75" customHeight="1">
      <c r="Q566" t="str">
        <v>192f26b8-bf85-46a1-a5d7-6ee8a98e1541</v>
      </c>
    </row>
    <row r="567" spans="17:17" ht="15.75" customHeight="1">
      <c r="Q567" t="str">
        <v>fdcdd052-845c-43c7-aa8b-3145ed543306</v>
      </c>
    </row>
    <row r="568" spans="17:17" ht="15.75" customHeight="1">
      <c r="Q568" t="str">
        <v>30419034-5962-4b4a-a4ae-4a490079a43f</v>
      </c>
    </row>
    <row r="569" spans="17:17" ht="15.75" customHeight="1">
      <c r="Q569" t="str">
        <v>91f4778f-ee0f-4c97-9395-6e0b9969028d</v>
      </c>
    </row>
    <row r="570" spans="17:17" ht="15.75" customHeight="1">
      <c r="Q570" t="str">
        <v>035dd3e0-a631-451a-933d-f3acdaf4cf27</v>
      </c>
    </row>
    <row r="571" spans="17:17" ht="15.75" customHeight="1">
      <c r="Q571" t="str">
        <v>42b18dbf-a66b-42f5-b864-77df174b6c8c</v>
      </c>
    </row>
    <row r="572" spans="17:17" ht="15.75" customHeight="1">
      <c r="Q572" t="str">
        <v>ab5a9a9a-6c59-460e-8cf3-09677ed34ed4</v>
      </c>
    </row>
    <row r="573" spans="17:17" ht="15.75" customHeight="1">
      <c r="Q573" t="str">
        <v>3f317a26-ac87-43a8-bcdd-03e06e074927</v>
      </c>
    </row>
    <row r="574" spans="17:17" ht="15.75" customHeight="1">
      <c r="Q574" t="str">
        <v>b2911b52-971e-48be-bc9e-b52f913c93ab</v>
      </c>
    </row>
    <row r="575" spans="17:17" ht="15.75" customHeight="1">
      <c r="Q575" t="str">
        <v>43b6e025-3ab3-4cf4-a18e-af422a02f1de</v>
      </c>
    </row>
    <row r="576" spans="17:17" ht="15.75" customHeight="1">
      <c r="Q576" t="str">
        <v>15de7a1c-4a58-4fdc-9ace-c5439f3bf798</v>
      </c>
    </row>
    <row r="577" spans="17:17" ht="15.75" customHeight="1">
      <c r="Q577" t="str">
        <v>f7833a81-c19c-41c8-97c7-d6b3bcd4f1e4</v>
      </c>
    </row>
    <row r="578" spans="17:17" ht="15.75" customHeight="1">
      <c r="Q578" t="str">
        <v>0cbc0030-f70f-48fe-a352-53aa85c67bc1</v>
      </c>
    </row>
    <row r="579" spans="17:17" ht="15.75" customHeight="1">
      <c r="Q579" t="str">
        <v>7d0f25d3-b438-4c9f-868f-3fdd2254692d</v>
      </c>
    </row>
    <row r="580" spans="17:17" ht="15.75" customHeight="1">
      <c r="Q580" t="str">
        <v>f17d4508-5214-4b0e-a5fb-d043932a7b82</v>
      </c>
    </row>
    <row r="581" spans="17:17" ht="15.75" customHeight="1">
      <c r="Q581" t="str">
        <v>affd4dc5-b435-434d-85ce-90df03ef34b2</v>
      </c>
    </row>
    <row r="582" spans="17:17" ht="15.75" customHeight="1">
      <c r="Q582" t="str">
        <v>462bd94f-2e30-43fa-a657-3dd1a12b6a14</v>
      </c>
    </row>
    <row r="583" spans="17:17" ht="15.75" customHeight="1">
      <c r="Q583" t="str">
        <v>2a08270c-f517-487e-aec1-352369998643</v>
      </c>
    </row>
    <row r="584" spans="17:17" ht="15.75" customHeight="1">
      <c r="Q584" t="str">
        <v>081fc11b-0f63-4e42-a28e-c4d2058b5dfb</v>
      </c>
    </row>
    <row r="585" spans="17:17" ht="15.75" customHeight="1">
      <c r="Q585" t="str">
        <v>d55e66ba-418b-4c03-a933-4d6f786f92ab</v>
      </c>
    </row>
    <row r="586" spans="17:17" ht="15.75" customHeight="1">
      <c r="Q586" t="str">
        <v>8c7f5cf3-673e-40d5-ae65-556bdea800ec</v>
      </c>
    </row>
    <row r="587" spans="17:17" ht="15.75" customHeight="1">
      <c r="Q587" t="str">
        <v>2f2d757a-21a2-4458-9b84-65b92fc21127</v>
      </c>
    </row>
    <row r="588" spans="17:17" ht="15.75" customHeight="1">
      <c r="Q588" t="str">
        <v>5c984a87-2059-4f4c-ac45-69c6c95978cf</v>
      </c>
    </row>
    <row r="589" spans="17:17" ht="15.75" customHeight="1">
      <c r="Q589" t="str">
        <v>dda14775-a632-4c2c-82bf-d0aa58e61ceb</v>
      </c>
    </row>
    <row r="590" spans="17:17" ht="15.75" customHeight="1">
      <c r="Q590" t="str">
        <v>f36662c9-34f5-4b5b-823f-166d57ffaae4</v>
      </c>
    </row>
    <row r="591" spans="17:17" ht="15.75" customHeight="1">
      <c r="Q591" t="str">
        <v>3027b670-5226-45db-8525-eb97232bf8b9</v>
      </c>
    </row>
    <row r="592" spans="17:17" ht="15.75" customHeight="1">
      <c r="Q592" t="str">
        <v>c0c37eca-10d0-4480-8611-282da9e1ec29</v>
      </c>
    </row>
    <row r="593" spans="17:17" ht="15.75" customHeight="1">
      <c r="Q593" t="str">
        <v>7faaf245-7c7b-4e77-8d5e-b88dc79bf29d</v>
      </c>
    </row>
    <row r="594" spans="17:17" ht="15.75" customHeight="1">
      <c r="Q594" t="str">
        <v>6cbd3557-7056-45ef-a84b-3788f27681f4</v>
      </c>
    </row>
    <row r="595" spans="17:17" ht="15.75" customHeight="1">
      <c r="Q595" t="str">
        <v>97edc3b3-0b13-4ef8-8a7a-f78ea8fd34fa</v>
      </c>
    </row>
    <row r="596" spans="17:17" ht="15.75" customHeight="1">
      <c r="Q596" t="str">
        <v>7c9a7315-067e-4374-b32d-b0c26f3fb688</v>
      </c>
    </row>
    <row r="597" spans="17:17" ht="15.75" customHeight="1">
      <c r="Q597" t="str">
        <v>93186520-e565-49ec-ba04-5d04d292eb21</v>
      </c>
    </row>
    <row r="598" spans="17:17" ht="15.75" customHeight="1">
      <c r="Q598" t="str">
        <v>41d3f28a-46a7-4ac5-acd6-078612956fbb</v>
      </c>
    </row>
    <row r="599" spans="17:17" ht="15.75" customHeight="1">
      <c r="Q599" t="str">
        <v>86d89028-eedd-4c90-9994-88d22079d0a3</v>
      </c>
    </row>
    <row r="600" spans="17:17" ht="15.75" customHeight="1">
      <c r="Q600" t="str">
        <v>32962577-b0da-4fb7-b151-f72578bacb46</v>
      </c>
    </row>
    <row r="601" spans="17:17" ht="15.75" customHeight="1">
      <c r="Q601" t="str">
        <v>3a916b44-662c-466c-ad76-f6531d09b33c</v>
      </c>
    </row>
    <row r="602" spans="17:17" ht="15.75" customHeight="1">
      <c r="Q602" t="str">
        <v>4c4f5517-0776-4b0f-a45f-bcbf4a0bc8f5</v>
      </c>
    </row>
    <row r="603" spans="17:17" ht="15.75" customHeight="1">
      <c r="Q603" t="str">
        <v>b458111c-0628-4749-88bb-cd683c47a47b</v>
      </c>
    </row>
    <row r="604" spans="17:17" ht="15.75" customHeight="1">
      <c r="Q604" t="str">
        <v>99b4c691-fd17-42c9-b72c-4563aad42655</v>
      </c>
    </row>
    <row r="605" spans="17:17" ht="15.75" customHeight="1">
      <c r="Q605" t="str">
        <v>55f3fd4f-1efe-450b-9819-3cf08fd3fce5</v>
      </c>
    </row>
    <row r="606" spans="17:17" ht="15.75" customHeight="1">
      <c r="Q606" t="str">
        <v>d656e07e-9e07-4bd9-807c-169371d50cde</v>
      </c>
    </row>
    <row r="607" spans="17:17" ht="15.75" customHeight="1">
      <c r="Q607" t="str">
        <v>b1b10e1b-5da0-4142-abff-07feb0cf6c51</v>
      </c>
    </row>
    <row r="608" spans="17:17" ht="15.75" customHeight="1">
      <c r="Q608" t="str">
        <v>acfa60e3-0721-4c03-aa44-dd790fdd56dd</v>
      </c>
    </row>
    <row r="609" spans="17:17" ht="15.75" customHeight="1">
      <c r="Q609" t="str">
        <v>0b429a86-17f7-4807-8531-ab0bd737982c</v>
      </c>
    </row>
    <row r="610" spans="17:17" ht="15.75" customHeight="1">
      <c r="Q610" t="str">
        <v>9a3c7af7-f069-40ee-9717-2474c34834d3</v>
      </c>
    </row>
    <row r="611" spans="17:17" ht="15.75" customHeight="1">
      <c r="Q611" t="str">
        <v>cb742cec-e38e-4b9a-8f46-f791f8a6dfff</v>
      </c>
    </row>
    <row r="612" spans="17:17" ht="15.75" customHeight="1">
      <c r="Q612" t="str">
        <v>f58f1839-c644-4d9e-b8b9-a5a5c07aecaf</v>
      </c>
    </row>
    <row r="613" spans="17:17" ht="15.75" customHeight="1">
      <c r="Q613" t="str">
        <v>b0fdba88-f66e-44a9-864e-7cd2af4784fe</v>
      </c>
    </row>
    <row r="614" spans="17:17" ht="15.75" customHeight="1">
      <c r="Q614" t="str">
        <v>e6804d8f-e2c0-4627-b4be-8ceba00baabb</v>
      </c>
    </row>
    <row r="615" spans="17:17" ht="15.75" customHeight="1">
      <c r="Q615" t="str">
        <v>d339145b-b06e-47d8-8034-6fd41321673e</v>
      </c>
    </row>
    <row r="616" spans="17:17" ht="15.75" customHeight="1">
      <c r="Q616" t="str">
        <v>22eb6dbc-cd76-4b18-980d-1b9606c606e7</v>
      </c>
    </row>
    <row r="617" spans="17:17" ht="15.75" customHeight="1">
      <c r="Q617" t="str">
        <v>21ecaefe-a0f9-4cc4-b144-88272f08fa2e</v>
      </c>
    </row>
    <row r="618" spans="17:17" ht="15.75" customHeight="1">
      <c r="Q618" t="str">
        <v>355077e5-e6f8-4758-afce-f8e63208c968</v>
      </c>
    </row>
    <row r="619" spans="17:17" ht="15.75" customHeight="1">
      <c r="Q619" t="str">
        <v>6d3b5ddf-2611-459f-86bb-18b9480688b9</v>
      </c>
    </row>
    <row r="620" spans="17:17" ht="15.75" customHeight="1">
      <c r="Q620" t="str">
        <v>2df1469c-1636-4ce1-8719-6f98f29a9b9f</v>
      </c>
    </row>
    <row r="621" spans="17:17" ht="15.75" customHeight="1">
      <c r="Q621" t="str">
        <v>0e77889d-1e39-4404-99aa-e3b021ba7fd9</v>
      </c>
    </row>
    <row r="622" spans="17:17" ht="15.75" customHeight="1">
      <c r="Q622" t="str">
        <v>9219d17c-d4ed-46b9-bed6-42209209bfe0</v>
      </c>
    </row>
    <row r="623" spans="17:17" ht="15.75" customHeight="1">
      <c r="Q623" t="str">
        <v>d6d95564-edd9-4408-9d8d-bea00ea66975</v>
      </c>
    </row>
    <row r="624" spans="17:17" ht="15.75" customHeight="1">
      <c r="Q624" t="str">
        <v>4b2b5ecb-502e-432c-80e6-c2c701e9e288</v>
      </c>
    </row>
    <row r="625" spans="17:17" ht="15.75" customHeight="1">
      <c r="Q625" t="str">
        <v>8201a42c-17ce-4f88-92be-1d0f3d6d9ff0</v>
      </c>
    </row>
    <row r="626" spans="17:17" ht="15.75" customHeight="1">
      <c r="Q626" t="str">
        <v>5dc49df8-e823-4a56-b005-94cf03249719</v>
      </c>
    </row>
    <row r="627" spans="17:17" ht="15.75" customHeight="1">
      <c r="Q627" t="str">
        <v>d6b56eea-4fe8-446a-b39c-15f3b5b24c5e</v>
      </c>
    </row>
    <row r="628" spans="17:17" ht="15.75" customHeight="1">
      <c r="Q628" t="str">
        <v>5c73df2a-1608-4800-952b-a9adb0b5df4d</v>
      </c>
    </row>
    <row r="629" spans="17:17" ht="15.75" customHeight="1">
      <c r="Q629" t="str">
        <v>bc80b0f3-8690-42f0-89d9-ffcbf7ad7908</v>
      </c>
    </row>
    <row r="630" spans="17:17" ht="15.75" customHeight="1">
      <c r="Q630" t="str">
        <v>0fe09c51-deeb-475e-83cf-9fead5925489</v>
      </c>
    </row>
    <row r="631" spans="17:17" ht="15.75" customHeight="1">
      <c r="Q631" t="str">
        <v>7e60cf59-dd94-4718-bf7d-e68b17acd442</v>
      </c>
    </row>
    <row r="632" spans="17:17" ht="15.75" customHeight="1">
      <c r="Q632">
        <v>0</v>
      </c>
    </row>
  </sheetData>
  <printOptions horizontalCentered="1" gridLines="1"/>
  <pageMargins left="0.7" right="0.7" top="0.75" bottom="0.75" header="0" footer="0"/>
  <pageSetup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BA49-4B80-4A6F-8C2F-C9F80F5A48A1}">
  <sheetPr>
    <outlinePr summaryBelow="0" summaryRight="0"/>
    <pageSetUpPr fitToPage="1"/>
  </sheetPr>
  <dimension ref="A1:Q501"/>
  <sheetViews>
    <sheetView tabSelected="1" workbookViewId="0">
      <pane ySplit="1" topLeftCell="A2" activePane="bottomLeft" state="frozen"/>
      <selection pane="bottomLeft" activeCell="P1" sqref="P1:P1048576"/>
    </sheetView>
  </sheetViews>
  <sheetFormatPr defaultColWidth="12.6640625" defaultRowHeight="15.75" customHeight="1"/>
  <cols>
    <col min="1" max="1" width="40" style="10" bestFit="1" customWidth="1"/>
    <col min="2" max="2" width="17.77734375" style="10" bestFit="1" customWidth="1"/>
    <col min="3" max="3" width="14.33203125" style="10" customWidth="1"/>
    <col min="4" max="4" width="26.44140625" style="10" hidden="1" customWidth="1"/>
    <col min="5" max="5" width="22.44140625" style="10" hidden="1" customWidth="1"/>
    <col min="6" max="6" width="16.44140625" style="10" customWidth="1"/>
    <col min="7" max="7" width="12.6640625" style="10"/>
    <col min="8" max="8" width="15" style="10" customWidth="1"/>
    <col min="9" max="9" width="19.6640625" style="10" hidden="1" customWidth="1"/>
    <col min="10" max="10" width="20.33203125" style="10" customWidth="1"/>
    <col min="11" max="11" width="15.33203125" style="10" customWidth="1"/>
    <col min="12" max="12" width="19.109375" style="10" customWidth="1"/>
    <col min="13" max="13" width="22.77734375" style="10" hidden="1" customWidth="1"/>
    <col min="14" max="14" width="13.88671875" style="10" customWidth="1"/>
    <col min="15" max="15" width="20.109375" style="10" bestFit="1" customWidth="1"/>
    <col min="16" max="16" width="20.44140625" style="10" hidden="1" customWidth="1"/>
    <col min="17" max="17" width="47.33203125" style="10" hidden="1" customWidth="1"/>
    <col min="18" max="16384" width="12.6640625" style="10"/>
  </cols>
  <sheetData>
    <row r="1" spans="1:17" ht="13.8">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561</v>
      </c>
      <c r="Q1" s="11" t="s">
        <v>562</v>
      </c>
    </row>
    <row r="2" spans="1:17" ht="13.8">
      <c r="A2" s="8" t="s">
        <v>15</v>
      </c>
      <c r="B2" s="8" t="s">
        <v>16</v>
      </c>
      <c r="C2" s="8" t="s">
        <v>17</v>
      </c>
      <c r="D2" s="7">
        <v>45782</v>
      </c>
      <c r="E2" s="7">
        <v>45821</v>
      </c>
      <c r="F2" s="8">
        <v>4914</v>
      </c>
      <c r="G2" s="8" t="s">
        <v>18</v>
      </c>
      <c r="H2" s="8" t="s">
        <v>19</v>
      </c>
      <c r="I2" s="7">
        <v>45911</v>
      </c>
      <c r="J2" s="8" t="s">
        <v>20</v>
      </c>
      <c r="K2" s="8" t="s">
        <v>21</v>
      </c>
      <c r="L2" s="8" t="s">
        <v>22</v>
      </c>
      <c r="M2" s="8" t="s">
        <v>23</v>
      </c>
      <c r="N2" s="8">
        <v>87</v>
      </c>
      <c r="O2" s="8" t="s">
        <v>24</v>
      </c>
      <c r="P2" s="8" t="str">
        <f t="shared" ref="P2:P65" si="0">IF(OR(D2&lt;E2,D2=E2), "Valid","not valid")</f>
        <v>Valid</v>
      </c>
      <c r="Q2" s="8" t="str">
        <f t="shared" ref="Q2:Q65" si="1">IF(OR(D2 &lt;I2,D2=I2),"Valid","Not valid")</f>
        <v>Valid</v>
      </c>
    </row>
    <row r="3" spans="1:17" ht="13.8">
      <c r="A3" s="8" t="s">
        <v>25</v>
      </c>
      <c r="B3" s="8" t="s">
        <v>26</v>
      </c>
      <c r="C3" s="8" t="s">
        <v>27</v>
      </c>
      <c r="D3" s="7">
        <v>45744</v>
      </c>
      <c r="E3" s="7">
        <v>45695</v>
      </c>
      <c r="F3" s="8">
        <v>0</v>
      </c>
      <c r="G3" s="8" t="s">
        <v>28</v>
      </c>
      <c r="H3" s="8" t="s">
        <v>29</v>
      </c>
      <c r="I3" s="8" t="s">
        <v>546</v>
      </c>
      <c r="J3" s="8" t="s">
        <v>30</v>
      </c>
      <c r="K3" s="8" t="s">
        <v>31</v>
      </c>
      <c r="L3" s="8" t="s">
        <v>22</v>
      </c>
      <c r="M3" s="8" t="s">
        <v>32</v>
      </c>
      <c r="N3" s="8">
        <v>48</v>
      </c>
      <c r="O3" s="8" t="s">
        <v>24</v>
      </c>
      <c r="P3" s="8" t="str">
        <f t="shared" si="0"/>
        <v>not valid</v>
      </c>
      <c r="Q3" s="8" t="str">
        <f t="shared" si="1"/>
        <v>Valid</v>
      </c>
    </row>
    <row r="4" spans="1:17" ht="13.8">
      <c r="A4" s="8" t="s">
        <v>33</v>
      </c>
      <c r="B4" s="8" t="s">
        <v>16</v>
      </c>
      <c r="C4" s="8" t="s">
        <v>17</v>
      </c>
      <c r="D4" s="7">
        <v>45701</v>
      </c>
      <c r="E4" s="7">
        <v>45924</v>
      </c>
      <c r="F4" s="8">
        <v>4571</v>
      </c>
      <c r="G4" s="8" t="s">
        <v>34</v>
      </c>
      <c r="H4" s="8" t="s">
        <v>35</v>
      </c>
      <c r="I4" s="7">
        <v>45751</v>
      </c>
      <c r="J4" s="8" t="s">
        <v>20</v>
      </c>
      <c r="K4" s="8" t="s">
        <v>21</v>
      </c>
      <c r="L4" s="8" t="s">
        <v>22</v>
      </c>
      <c r="M4" s="8" t="s">
        <v>36</v>
      </c>
      <c r="N4" s="8">
        <v>61</v>
      </c>
      <c r="O4" s="8" t="s">
        <v>24</v>
      </c>
      <c r="P4" s="8" t="str">
        <f t="shared" si="0"/>
        <v>Valid</v>
      </c>
      <c r="Q4" s="8" t="str">
        <f t="shared" si="1"/>
        <v>Valid</v>
      </c>
    </row>
    <row r="5" spans="1:17" ht="13.8">
      <c r="A5" s="8" t="s">
        <v>37</v>
      </c>
      <c r="B5" s="8" t="s">
        <v>38</v>
      </c>
      <c r="C5" s="8" t="s">
        <v>39</v>
      </c>
      <c r="D5" s="7">
        <v>45905</v>
      </c>
      <c r="E5" s="7">
        <v>45905</v>
      </c>
      <c r="F5" s="8">
        <v>0</v>
      </c>
      <c r="G5" s="8" t="s">
        <v>34</v>
      </c>
      <c r="H5" s="8" t="s">
        <v>29</v>
      </c>
      <c r="I5" s="8" t="s">
        <v>546</v>
      </c>
      <c r="J5" s="8" t="s">
        <v>30</v>
      </c>
      <c r="K5" s="8" t="s">
        <v>40</v>
      </c>
      <c r="L5" s="8" t="s">
        <v>41</v>
      </c>
      <c r="M5" s="8" t="s">
        <v>32</v>
      </c>
      <c r="N5" s="8">
        <v>47</v>
      </c>
      <c r="O5" s="8" t="s">
        <v>24</v>
      </c>
      <c r="P5" s="8" t="str">
        <f t="shared" si="0"/>
        <v>Valid</v>
      </c>
      <c r="Q5" s="8" t="str">
        <f t="shared" si="1"/>
        <v>Valid</v>
      </c>
    </row>
    <row r="6" spans="1:17" ht="13.8">
      <c r="A6" s="8" t="s">
        <v>42</v>
      </c>
      <c r="B6" s="8" t="s">
        <v>38</v>
      </c>
      <c r="C6" s="8" t="s">
        <v>17</v>
      </c>
      <c r="D6" s="7">
        <v>45806</v>
      </c>
      <c r="E6" s="7">
        <v>45908</v>
      </c>
      <c r="F6" s="8">
        <v>2213</v>
      </c>
      <c r="G6" s="8" t="s">
        <v>28</v>
      </c>
      <c r="H6" s="8" t="s">
        <v>29</v>
      </c>
      <c r="I6" s="7">
        <v>45714</v>
      </c>
      <c r="J6" s="8" t="s">
        <v>30</v>
      </c>
      <c r="K6" s="8" t="s">
        <v>43</v>
      </c>
      <c r="L6" s="8" t="s">
        <v>547</v>
      </c>
      <c r="M6" s="8" t="s">
        <v>45</v>
      </c>
      <c r="N6" s="8">
        <v>67</v>
      </c>
      <c r="O6" s="8" t="s">
        <v>46</v>
      </c>
      <c r="P6" s="8" t="str">
        <f t="shared" si="0"/>
        <v>Valid</v>
      </c>
      <c r="Q6" s="8" t="str">
        <f t="shared" si="1"/>
        <v>Not valid</v>
      </c>
    </row>
    <row r="7" spans="1:17" ht="13.8">
      <c r="A7" s="8" t="s">
        <v>47</v>
      </c>
      <c r="B7" s="8" t="s">
        <v>16</v>
      </c>
      <c r="C7" s="8" t="s">
        <v>17</v>
      </c>
      <c r="D7" s="7">
        <v>45901</v>
      </c>
      <c r="E7" s="7">
        <v>45877</v>
      </c>
      <c r="F7" s="8">
        <v>3988</v>
      </c>
      <c r="G7" s="8" t="s">
        <v>48</v>
      </c>
      <c r="H7" s="8" t="s">
        <v>49</v>
      </c>
      <c r="I7" s="7">
        <v>45913</v>
      </c>
      <c r="J7" s="8" t="s">
        <v>30</v>
      </c>
      <c r="K7" s="8" t="s">
        <v>43</v>
      </c>
      <c r="L7" s="8" t="s">
        <v>22</v>
      </c>
      <c r="M7" s="8" t="s">
        <v>32</v>
      </c>
      <c r="N7" s="8">
        <v>34</v>
      </c>
      <c r="O7" s="8" t="s">
        <v>24</v>
      </c>
      <c r="P7" s="8" t="str">
        <f t="shared" si="0"/>
        <v>not valid</v>
      </c>
      <c r="Q7" s="8" t="str">
        <f t="shared" si="1"/>
        <v>Valid</v>
      </c>
    </row>
    <row r="8" spans="1:17" ht="13.8">
      <c r="A8" s="8" t="s">
        <v>50</v>
      </c>
      <c r="B8" s="8" t="s">
        <v>51</v>
      </c>
      <c r="C8" s="8" t="s">
        <v>17</v>
      </c>
      <c r="D8" s="7">
        <v>45785</v>
      </c>
      <c r="E8" s="7">
        <v>45834</v>
      </c>
      <c r="F8" s="8">
        <v>4796</v>
      </c>
      <c r="G8" s="8" t="s">
        <v>34</v>
      </c>
      <c r="H8" s="8" t="s">
        <v>19</v>
      </c>
      <c r="I8" s="9">
        <v>45946</v>
      </c>
      <c r="J8" s="8" t="s">
        <v>20</v>
      </c>
      <c r="K8" s="8" t="s">
        <v>40</v>
      </c>
      <c r="L8" s="8" t="s">
        <v>547</v>
      </c>
      <c r="M8" s="8" t="s">
        <v>36</v>
      </c>
      <c r="N8" s="8">
        <v>94</v>
      </c>
      <c r="O8" s="8" t="s">
        <v>52</v>
      </c>
      <c r="P8" s="8" t="str">
        <f t="shared" si="0"/>
        <v>Valid</v>
      </c>
      <c r="Q8" s="8" t="str">
        <f t="shared" si="1"/>
        <v>Valid</v>
      </c>
    </row>
    <row r="9" spans="1:17" ht="13.8">
      <c r="A9" s="8" t="s">
        <v>53</v>
      </c>
      <c r="B9" s="8" t="s">
        <v>51</v>
      </c>
      <c r="C9" s="8" t="s">
        <v>17</v>
      </c>
      <c r="D9" s="7">
        <v>45850</v>
      </c>
      <c r="E9" s="7">
        <v>45896</v>
      </c>
      <c r="F9" s="8">
        <v>4181</v>
      </c>
      <c r="G9" s="8" t="s">
        <v>34</v>
      </c>
      <c r="H9" s="8" t="s">
        <v>49</v>
      </c>
      <c r="I9" s="7">
        <v>45844</v>
      </c>
      <c r="J9" s="8" t="s">
        <v>30</v>
      </c>
      <c r="K9" s="8" t="s">
        <v>43</v>
      </c>
      <c r="L9" s="8" t="s">
        <v>22</v>
      </c>
      <c r="M9" s="8" t="s">
        <v>23</v>
      </c>
      <c r="N9" s="8">
        <v>91</v>
      </c>
      <c r="O9" s="8" t="s">
        <v>52</v>
      </c>
      <c r="P9" s="8" t="str">
        <f t="shared" si="0"/>
        <v>Valid</v>
      </c>
      <c r="Q9" s="8" t="str">
        <f t="shared" si="1"/>
        <v>Not valid</v>
      </c>
    </row>
    <row r="10" spans="1:17" ht="13.8">
      <c r="A10" s="8" t="s">
        <v>54</v>
      </c>
      <c r="B10" s="8" t="s">
        <v>16</v>
      </c>
      <c r="C10" s="8" t="s">
        <v>27</v>
      </c>
      <c r="D10" s="7">
        <v>45920</v>
      </c>
      <c r="E10" s="7">
        <v>45748</v>
      </c>
      <c r="F10" s="8">
        <v>0</v>
      </c>
      <c r="G10" s="8" t="s">
        <v>28</v>
      </c>
      <c r="H10" s="8" t="s">
        <v>35</v>
      </c>
      <c r="I10" s="8" t="s">
        <v>546</v>
      </c>
      <c r="J10" s="8" t="s">
        <v>20</v>
      </c>
      <c r="K10" s="8" t="s">
        <v>40</v>
      </c>
      <c r="L10" s="8" t="s">
        <v>44</v>
      </c>
      <c r="M10" s="8" t="s">
        <v>36</v>
      </c>
      <c r="N10" s="8">
        <v>64</v>
      </c>
      <c r="O10" s="8" t="s">
        <v>46</v>
      </c>
      <c r="P10" s="8" t="str">
        <f t="shared" si="0"/>
        <v>not valid</v>
      </c>
      <c r="Q10" s="8" t="str">
        <f t="shared" si="1"/>
        <v>Valid</v>
      </c>
    </row>
    <row r="11" spans="1:17" ht="13.8">
      <c r="A11" s="8" t="s">
        <v>55</v>
      </c>
      <c r="B11" s="8" t="s">
        <v>51</v>
      </c>
      <c r="C11" s="8" t="s">
        <v>17</v>
      </c>
      <c r="D11" s="7">
        <v>45784</v>
      </c>
      <c r="E11" s="7">
        <v>45703</v>
      </c>
      <c r="F11" s="8">
        <v>4750</v>
      </c>
      <c r="G11" s="8" t="s">
        <v>28</v>
      </c>
      <c r="H11" s="8" t="s">
        <v>29</v>
      </c>
      <c r="I11" s="7">
        <v>45727</v>
      </c>
      <c r="J11" s="8" t="s">
        <v>30</v>
      </c>
      <c r="K11" s="8" t="s">
        <v>21</v>
      </c>
      <c r="L11" s="8" t="s">
        <v>22</v>
      </c>
      <c r="M11" s="8" t="s">
        <v>32</v>
      </c>
      <c r="N11" s="8">
        <v>68</v>
      </c>
      <c r="O11" s="8" t="s">
        <v>52</v>
      </c>
      <c r="P11" s="8" t="str">
        <f t="shared" si="0"/>
        <v>not valid</v>
      </c>
      <c r="Q11" s="8" t="str">
        <f t="shared" si="1"/>
        <v>Not valid</v>
      </c>
    </row>
    <row r="12" spans="1:17" ht="13.8">
      <c r="A12" s="8" t="s">
        <v>56</v>
      </c>
      <c r="B12" s="8" t="s">
        <v>51</v>
      </c>
      <c r="C12" s="8" t="s">
        <v>39</v>
      </c>
      <c r="D12" s="7">
        <v>45662</v>
      </c>
      <c r="E12" s="7">
        <v>45662</v>
      </c>
      <c r="F12" s="8">
        <v>0</v>
      </c>
      <c r="G12" s="8" t="s">
        <v>18</v>
      </c>
      <c r="H12" s="8" t="s">
        <v>29</v>
      </c>
      <c r="I12" s="8" t="s">
        <v>546</v>
      </c>
      <c r="J12" s="8" t="s">
        <v>20</v>
      </c>
      <c r="K12" s="8" t="s">
        <v>40</v>
      </c>
      <c r="L12" s="8" t="s">
        <v>27</v>
      </c>
      <c r="M12" s="8" t="s">
        <v>32</v>
      </c>
      <c r="N12" s="8">
        <v>61</v>
      </c>
      <c r="O12" s="8" t="s">
        <v>46</v>
      </c>
      <c r="P12" s="8" t="str">
        <f t="shared" si="0"/>
        <v>Valid</v>
      </c>
      <c r="Q12" s="8" t="str">
        <f t="shared" si="1"/>
        <v>Valid</v>
      </c>
    </row>
    <row r="13" spans="1:17" ht="13.8">
      <c r="A13" s="8" t="s">
        <v>57</v>
      </c>
      <c r="B13" s="8" t="s">
        <v>51</v>
      </c>
      <c r="C13" s="8" t="s">
        <v>17</v>
      </c>
      <c r="D13" s="7">
        <v>45698</v>
      </c>
      <c r="E13" s="7">
        <v>45929</v>
      </c>
      <c r="F13" s="8">
        <v>4541</v>
      </c>
      <c r="G13" s="8" t="s">
        <v>18</v>
      </c>
      <c r="H13" s="8" t="s">
        <v>19</v>
      </c>
      <c r="I13" s="7">
        <v>45735</v>
      </c>
      <c r="J13" s="8" t="s">
        <v>30</v>
      </c>
      <c r="K13" s="8" t="s">
        <v>43</v>
      </c>
      <c r="L13" s="8" t="s">
        <v>22</v>
      </c>
      <c r="M13" s="8" t="s">
        <v>45</v>
      </c>
      <c r="N13" s="8">
        <v>92</v>
      </c>
      <c r="O13" s="8" t="s">
        <v>24</v>
      </c>
      <c r="P13" s="8" t="str">
        <f t="shared" si="0"/>
        <v>Valid</v>
      </c>
      <c r="Q13" s="8" t="str">
        <f t="shared" si="1"/>
        <v>Valid</v>
      </c>
    </row>
    <row r="14" spans="1:17" ht="13.8">
      <c r="A14" s="8" t="s">
        <v>58</v>
      </c>
      <c r="B14" s="8" t="s">
        <v>26</v>
      </c>
      <c r="C14" s="8" t="s">
        <v>27</v>
      </c>
      <c r="D14" s="7">
        <v>45789</v>
      </c>
      <c r="E14" s="7">
        <v>45804</v>
      </c>
      <c r="F14" s="8">
        <v>0</v>
      </c>
      <c r="G14" s="8" t="s">
        <v>18</v>
      </c>
      <c r="H14" s="8" t="s">
        <v>49</v>
      </c>
      <c r="I14" s="8" t="s">
        <v>546</v>
      </c>
      <c r="J14" s="8" t="s">
        <v>30</v>
      </c>
      <c r="K14" s="8" t="s">
        <v>40</v>
      </c>
      <c r="L14" s="8" t="s">
        <v>44</v>
      </c>
      <c r="M14" s="8" t="s">
        <v>45</v>
      </c>
      <c r="N14" s="8">
        <v>39</v>
      </c>
      <c r="O14" s="8" t="s">
        <v>46</v>
      </c>
      <c r="P14" s="8" t="str">
        <f t="shared" si="0"/>
        <v>Valid</v>
      </c>
      <c r="Q14" s="8" t="str">
        <f t="shared" si="1"/>
        <v>Valid</v>
      </c>
    </row>
    <row r="15" spans="1:17" ht="13.8">
      <c r="A15" s="8" t="s">
        <v>59</v>
      </c>
      <c r="B15" s="8" t="s">
        <v>51</v>
      </c>
      <c r="C15" s="8" t="s">
        <v>17</v>
      </c>
      <c r="D15" s="7">
        <v>45728</v>
      </c>
      <c r="E15" s="7">
        <v>45714</v>
      </c>
      <c r="F15" s="8">
        <v>2848</v>
      </c>
      <c r="G15" s="8" t="s">
        <v>18</v>
      </c>
      <c r="H15" s="8" t="s">
        <v>35</v>
      </c>
      <c r="I15" s="7">
        <v>45932</v>
      </c>
      <c r="J15" s="8" t="s">
        <v>30</v>
      </c>
      <c r="K15" s="8" t="s">
        <v>31</v>
      </c>
      <c r="L15" s="8" t="s">
        <v>548</v>
      </c>
      <c r="M15" s="8" t="s">
        <v>36</v>
      </c>
      <c r="N15" s="8">
        <v>32</v>
      </c>
      <c r="O15" s="8" t="s">
        <v>24</v>
      </c>
      <c r="P15" s="8" t="str">
        <f t="shared" si="0"/>
        <v>not valid</v>
      </c>
      <c r="Q15" s="8" t="str">
        <f t="shared" si="1"/>
        <v>Valid</v>
      </c>
    </row>
    <row r="16" spans="1:17" ht="13.8">
      <c r="A16" s="8" t="s">
        <v>60</v>
      </c>
      <c r="B16" s="8" t="s">
        <v>26</v>
      </c>
      <c r="C16" s="8" t="s">
        <v>39</v>
      </c>
      <c r="D16" s="7">
        <v>45849</v>
      </c>
      <c r="E16" s="7">
        <v>45849</v>
      </c>
      <c r="F16" s="8">
        <v>0</v>
      </c>
      <c r="G16" s="8" t="s">
        <v>48</v>
      </c>
      <c r="H16" s="8" t="s">
        <v>29</v>
      </c>
      <c r="I16" s="8" t="s">
        <v>546</v>
      </c>
      <c r="J16" s="8" t="s">
        <v>30</v>
      </c>
      <c r="K16" s="8" t="s">
        <v>21</v>
      </c>
      <c r="L16" s="8" t="s">
        <v>27</v>
      </c>
      <c r="M16" s="8" t="s">
        <v>32</v>
      </c>
      <c r="N16" s="8">
        <v>74</v>
      </c>
      <c r="O16" s="8" t="s">
        <v>24</v>
      </c>
      <c r="P16" s="8" t="str">
        <f t="shared" si="0"/>
        <v>Valid</v>
      </c>
      <c r="Q16" s="8" t="str">
        <f t="shared" si="1"/>
        <v>Valid</v>
      </c>
    </row>
    <row r="17" spans="1:17" ht="13.8">
      <c r="A17" s="8" t="s">
        <v>61</v>
      </c>
      <c r="B17" s="8" t="s">
        <v>51</v>
      </c>
      <c r="C17" s="8" t="s">
        <v>17</v>
      </c>
      <c r="D17" s="7">
        <v>45829</v>
      </c>
      <c r="E17" s="7">
        <v>45912</v>
      </c>
      <c r="F17" s="8">
        <v>2902</v>
      </c>
      <c r="G17" s="8" t="s">
        <v>48</v>
      </c>
      <c r="H17" s="8" t="s">
        <v>49</v>
      </c>
      <c r="I17" s="7">
        <v>45801</v>
      </c>
      <c r="J17" s="8" t="s">
        <v>30</v>
      </c>
      <c r="K17" s="8" t="s">
        <v>40</v>
      </c>
      <c r="L17" s="8" t="s">
        <v>548</v>
      </c>
      <c r="M17" s="8" t="s">
        <v>45</v>
      </c>
      <c r="N17" s="8">
        <v>57</v>
      </c>
      <c r="O17" s="8" t="s">
        <v>24</v>
      </c>
      <c r="P17" s="8" t="str">
        <f t="shared" si="0"/>
        <v>Valid</v>
      </c>
      <c r="Q17" s="8" t="str">
        <f t="shared" si="1"/>
        <v>Not valid</v>
      </c>
    </row>
    <row r="18" spans="1:17" ht="13.8">
      <c r="A18" s="8" t="s">
        <v>62</v>
      </c>
      <c r="B18" s="8" t="s">
        <v>16</v>
      </c>
      <c r="C18" s="8" t="s">
        <v>17</v>
      </c>
      <c r="D18" s="7">
        <v>45934</v>
      </c>
      <c r="E18" s="7">
        <v>45688</v>
      </c>
      <c r="F18" s="8">
        <v>3558</v>
      </c>
      <c r="G18" s="8" t="s">
        <v>34</v>
      </c>
      <c r="H18" s="8" t="s">
        <v>29</v>
      </c>
      <c r="I18" s="7">
        <v>45835</v>
      </c>
      <c r="J18" s="8" t="s">
        <v>30</v>
      </c>
      <c r="K18" s="8" t="s">
        <v>31</v>
      </c>
      <c r="L18" s="8" t="s">
        <v>547</v>
      </c>
      <c r="M18" s="8" t="s">
        <v>23</v>
      </c>
      <c r="N18" s="8">
        <v>89</v>
      </c>
      <c r="O18" s="8" t="s">
        <v>46</v>
      </c>
      <c r="P18" s="8" t="str">
        <f t="shared" si="0"/>
        <v>not valid</v>
      </c>
      <c r="Q18" s="8" t="str">
        <f t="shared" si="1"/>
        <v>Not valid</v>
      </c>
    </row>
    <row r="19" spans="1:17" ht="13.8">
      <c r="A19" s="8" t="s">
        <v>63</v>
      </c>
      <c r="B19" s="8" t="s">
        <v>26</v>
      </c>
      <c r="C19" s="8" t="s">
        <v>27</v>
      </c>
      <c r="D19" s="7">
        <v>45724</v>
      </c>
      <c r="E19" s="7">
        <v>45804</v>
      </c>
      <c r="F19" s="8">
        <v>0</v>
      </c>
      <c r="G19" s="8" t="s">
        <v>18</v>
      </c>
      <c r="H19" s="8" t="s">
        <v>35</v>
      </c>
      <c r="I19" s="8" t="s">
        <v>546</v>
      </c>
      <c r="J19" s="8" t="s">
        <v>30</v>
      </c>
      <c r="K19" s="8" t="s">
        <v>43</v>
      </c>
      <c r="L19" s="8" t="s">
        <v>22</v>
      </c>
      <c r="M19" s="8" t="s">
        <v>32</v>
      </c>
      <c r="N19" s="8">
        <v>74</v>
      </c>
      <c r="O19" s="8" t="s">
        <v>46</v>
      </c>
      <c r="P19" s="8" t="str">
        <f t="shared" si="0"/>
        <v>Valid</v>
      </c>
      <c r="Q19" s="8" t="str">
        <f t="shared" si="1"/>
        <v>Valid</v>
      </c>
    </row>
    <row r="20" spans="1:17" ht="13.8">
      <c r="A20" s="8" t="s">
        <v>64</v>
      </c>
      <c r="B20" s="8" t="s">
        <v>26</v>
      </c>
      <c r="C20" s="8" t="s">
        <v>39</v>
      </c>
      <c r="D20" s="7">
        <v>45678</v>
      </c>
      <c r="E20" s="7">
        <v>45678</v>
      </c>
      <c r="F20" s="8">
        <v>0</v>
      </c>
      <c r="G20" s="8" t="s">
        <v>48</v>
      </c>
      <c r="H20" s="8" t="s">
        <v>49</v>
      </c>
      <c r="I20" s="8" t="s">
        <v>546</v>
      </c>
      <c r="J20" s="8" t="s">
        <v>20</v>
      </c>
      <c r="K20" s="8" t="s">
        <v>43</v>
      </c>
      <c r="L20" s="8" t="s">
        <v>27</v>
      </c>
      <c r="M20" s="8" t="s">
        <v>23</v>
      </c>
      <c r="N20" s="8">
        <v>94</v>
      </c>
      <c r="O20" s="8" t="s">
        <v>24</v>
      </c>
      <c r="P20" s="8" t="str">
        <f t="shared" si="0"/>
        <v>Valid</v>
      </c>
      <c r="Q20" s="8" t="str">
        <f t="shared" si="1"/>
        <v>Valid</v>
      </c>
    </row>
    <row r="21" spans="1:17" ht="13.8">
      <c r="A21" s="8" t="s">
        <v>65</v>
      </c>
      <c r="B21" s="8" t="s">
        <v>16</v>
      </c>
      <c r="C21" s="8" t="s">
        <v>27</v>
      </c>
      <c r="D21" s="7">
        <v>45753</v>
      </c>
      <c r="E21" s="7">
        <v>45844</v>
      </c>
      <c r="F21" s="8">
        <v>0</v>
      </c>
      <c r="G21" s="8" t="s">
        <v>48</v>
      </c>
      <c r="H21" s="8" t="s">
        <v>35</v>
      </c>
      <c r="I21" s="8" t="s">
        <v>546</v>
      </c>
      <c r="J21" s="8" t="s">
        <v>30</v>
      </c>
      <c r="K21" s="8" t="s">
        <v>21</v>
      </c>
      <c r="L21" s="8" t="s">
        <v>44</v>
      </c>
      <c r="M21" s="8" t="s">
        <v>36</v>
      </c>
      <c r="N21" s="8">
        <v>32</v>
      </c>
      <c r="O21" s="8" t="s">
        <v>52</v>
      </c>
      <c r="P21" s="8" t="str">
        <f t="shared" si="0"/>
        <v>Valid</v>
      </c>
      <c r="Q21" s="8" t="str">
        <f t="shared" si="1"/>
        <v>Valid</v>
      </c>
    </row>
    <row r="22" spans="1:17" ht="13.8">
      <c r="A22" s="8" t="s">
        <v>66</v>
      </c>
      <c r="B22" s="8" t="s">
        <v>51</v>
      </c>
      <c r="C22" s="8" t="s">
        <v>39</v>
      </c>
      <c r="D22" s="7">
        <v>45824</v>
      </c>
      <c r="E22" s="7">
        <v>45824</v>
      </c>
      <c r="F22" s="8">
        <v>0</v>
      </c>
      <c r="G22" s="8" t="s">
        <v>34</v>
      </c>
      <c r="H22" s="8" t="s">
        <v>49</v>
      </c>
      <c r="I22" s="8" t="s">
        <v>546</v>
      </c>
      <c r="J22" s="8" t="s">
        <v>20</v>
      </c>
      <c r="K22" s="8" t="s">
        <v>43</v>
      </c>
      <c r="L22" s="8" t="s">
        <v>41</v>
      </c>
      <c r="M22" s="8" t="s">
        <v>23</v>
      </c>
      <c r="N22" s="8">
        <v>59</v>
      </c>
      <c r="O22" s="8" t="s">
        <v>24</v>
      </c>
      <c r="P22" s="8" t="str">
        <f t="shared" si="0"/>
        <v>Valid</v>
      </c>
      <c r="Q22" s="8" t="str">
        <f t="shared" si="1"/>
        <v>Valid</v>
      </c>
    </row>
    <row r="23" spans="1:17" ht="13.8">
      <c r="A23" s="8" t="s">
        <v>67</v>
      </c>
      <c r="B23" s="8" t="s">
        <v>51</v>
      </c>
      <c r="C23" s="8" t="s">
        <v>39</v>
      </c>
      <c r="D23" s="7">
        <v>45884</v>
      </c>
      <c r="E23" s="7">
        <v>45884</v>
      </c>
      <c r="F23" s="8">
        <v>0</v>
      </c>
      <c r="G23" s="8" t="s">
        <v>18</v>
      </c>
      <c r="H23" s="8" t="s">
        <v>35</v>
      </c>
      <c r="I23" s="8" t="s">
        <v>546</v>
      </c>
      <c r="J23" s="8" t="s">
        <v>30</v>
      </c>
      <c r="K23" s="8" t="s">
        <v>31</v>
      </c>
      <c r="L23" s="8" t="s">
        <v>27</v>
      </c>
      <c r="M23" s="8" t="s">
        <v>32</v>
      </c>
      <c r="N23" s="8">
        <v>60</v>
      </c>
      <c r="O23" s="8" t="s">
        <v>46</v>
      </c>
      <c r="P23" s="8" t="str">
        <f t="shared" si="0"/>
        <v>Valid</v>
      </c>
      <c r="Q23" s="8" t="str">
        <f t="shared" si="1"/>
        <v>Valid</v>
      </c>
    </row>
    <row r="24" spans="1:17" ht="13.8">
      <c r="A24" s="8" t="s">
        <v>68</v>
      </c>
      <c r="B24" s="8" t="s">
        <v>16</v>
      </c>
      <c r="C24" s="8" t="s">
        <v>39</v>
      </c>
      <c r="D24" s="7">
        <v>45726</v>
      </c>
      <c r="E24" s="7">
        <v>45726</v>
      </c>
      <c r="F24" s="8">
        <v>0</v>
      </c>
      <c r="G24" s="8" t="s">
        <v>48</v>
      </c>
      <c r="H24" s="8" t="s">
        <v>35</v>
      </c>
      <c r="I24" s="8" t="s">
        <v>546</v>
      </c>
      <c r="J24" s="8" t="s">
        <v>20</v>
      </c>
      <c r="K24" s="8" t="s">
        <v>31</v>
      </c>
      <c r="L24" s="8" t="s">
        <v>41</v>
      </c>
      <c r="M24" s="8" t="s">
        <v>36</v>
      </c>
      <c r="N24" s="8">
        <v>49</v>
      </c>
      <c r="O24" s="8" t="s">
        <v>46</v>
      </c>
      <c r="P24" s="8" t="str">
        <f t="shared" si="0"/>
        <v>Valid</v>
      </c>
      <c r="Q24" s="8" t="str">
        <f t="shared" si="1"/>
        <v>Valid</v>
      </c>
    </row>
    <row r="25" spans="1:17" ht="13.8">
      <c r="A25" s="8" t="s">
        <v>69</v>
      </c>
      <c r="B25" s="8" t="s">
        <v>26</v>
      </c>
      <c r="C25" s="8" t="s">
        <v>39</v>
      </c>
      <c r="D25" s="7">
        <v>45875</v>
      </c>
      <c r="E25" s="7">
        <v>45875</v>
      </c>
      <c r="F25" s="8">
        <v>0</v>
      </c>
      <c r="G25" s="8" t="s">
        <v>18</v>
      </c>
      <c r="H25" s="8" t="s">
        <v>35</v>
      </c>
      <c r="I25" s="8" t="s">
        <v>546</v>
      </c>
      <c r="J25" s="8" t="s">
        <v>30</v>
      </c>
      <c r="K25" s="8" t="s">
        <v>21</v>
      </c>
      <c r="L25" s="8" t="s">
        <v>22</v>
      </c>
      <c r="M25" s="8" t="s">
        <v>45</v>
      </c>
      <c r="N25" s="8">
        <v>32</v>
      </c>
      <c r="O25" s="8" t="s">
        <v>52</v>
      </c>
      <c r="P25" s="8" t="str">
        <f t="shared" si="0"/>
        <v>Valid</v>
      </c>
      <c r="Q25" s="8" t="str">
        <f t="shared" si="1"/>
        <v>Valid</v>
      </c>
    </row>
    <row r="26" spans="1:17" ht="13.8">
      <c r="A26" s="8" t="s">
        <v>70</v>
      </c>
      <c r="B26" s="8" t="s">
        <v>38</v>
      </c>
      <c r="C26" s="8" t="s">
        <v>39</v>
      </c>
      <c r="D26" s="7">
        <v>45824</v>
      </c>
      <c r="E26" s="7">
        <v>45824</v>
      </c>
      <c r="F26" s="8">
        <v>0</v>
      </c>
      <c r="G26" s="8" t="s">
        <v>18</v>
      </c>
      <c r="H26" s="8" t="s">
        <v>19</v>
      </c>
      <c r="I26" s="8" t="s">
        <v>546</v>
      </c>
      <c r="J26" s="8" t="s">
        <v>30</v>
      </c>
      <c r="K26" s="8" t="s">
        <v>31</v>
      </c>
      <c r="L26" s="8" t="s">
        <v>27</v>
      </c>
      <c r="M26" s="8" t="s">
        <v>32</v>
      </c>
      <c r="N26" s="8">
        <v>48</v>
      </c>
      <c r="O26" s="8" t="s">
        <v>46</v>
      </c>
      <c r="P26" s="8" t="str">
        <f t="shared" si="0"/>
        <v>Valid</v>
      </c>
      <c r="Q26" s="8" t="str">
        <f t="shared" si="1"/>
        <v>Valid</v>
      </c>
    </row>
    <row r="27" spans="1:17" ht="13.8">
      <c r="A27" s="8" t="s">
        <v>71</v>
      </c>
      <c r="B27" s="8" t="s">
        <v>26</v>
      </c>
      <c r="C27" s="8" t="s">
        <v>39</v>
      </c>
      <c r="D27" s="7">
        <v>45766</v>
      </c>
      <c r="E27" s="7">
        <v>45766</v>
      </c>
      <c r="F27" s="8">
        <v>0</v>
      </c>
      <c r="G27" s="8" t="s">
        <v>28</v>
      </c>
      <c r="H27" s="8" t="s">
        <v>35</v>
      </c>
      <c r="I27" s="8" t="s">
        <v>546</v>
      </c>
      <c r="J27" s="8" t="s">
        <v>20</v>
      </c>
      <c r="K27" s="8" t="s">
        <v>43</v>
      </c>
      <c r="L27" s="8" t="s">
        <v>44</v>
      </c>
      <c r="M27" s="8" t="s">
        <v>36</v>
      </c>
      <c r="N27" s="8">
        <v>40</v>
      </c>
      <c r="O27" s="8" t="s">
        <v>46</v>
      </c>
      <c r="P27" s="8" t="str">
        <f t="shared" si="0"/>
        <v>Valid</v>
      </c>
      <c r="Q27" s="8" t="str">
        <f t="shared" si="1"/>
        <v>Valid</v>
      </c>
    </row>
    <row r="28" spans="1:17" ht="13.8">
      <c r="A28" s="8" t="s">
        <v>72</v>
      </c>
      <c r="B28" s="8" t="s">
        <v>26</v>
      </c>
      <c r="C28" s="8" t="s">
        <v>39</v>
      </c>
      <c r="D28" s="7">
        <v>45718</v>
      </c>
      <c r="E28" s="7">
        <v>45718</v>
      </c>
      <c r="F28" s="8">
        <v>0</v>
      </c>
      <c r="G28" s="8" t="s">
        <v>48</v>
      </c>
      <c r="H28" s="8" t="s">
        <v>49</v>
      </c>
      <c r="I28" s="8" t="s">
        <v>546</v>
      </c>
      <c r="J28" s="8" t="s">
        <v>30</v>
      </c>
      <c r="K28" s="8" t="s">
        <v>40</v>
      </c>
      <c r="L28" s="8" t="s">
        <v>27</v>
      </c>
      <c r="M28" s="8" t="s">
        <v>36</v>
      </c>
      <c r="N28" s="8">
        <v>37</v>
      </c>
      <c r="O28" s="8" t="s">
        <v>24</v>
      </c>
      <c r="P28" s="8" t="str">
        <f t="shared" si="0"/>
        <v>Valid</v>
      </c>
      <c r="Q28" s="8" t="str">
        <f t="shared" si="1"/>
        <v>Valid</v>
      </c>
    </row>
    <row r="29" spans="1:17" ht="13.8">
      <c r="A29" s="8" t="s">
        <v>73</v>
      </c>
      <c r="B29" s="8" t="s">
        <v>16</v>
      </c>
      <c r="C29" s="8" t="s">
        <v>27</v>
      </c>
      <c r="D29" s="7">
        <v>45658</v>
      </c>
      <c r="E29" s="7">
        <v>45672</v>
      </c>
      <c r="F29" s="8">
        <v>0</v>
      </c>
      <c r="G29" s="8" t="s">
        <v>18</v>
      </c>
      <c r="H29" s="8" t="s">
        <v>19</v>
      </c>
      <c r="I29" s="8" t="s">
        <v>546</v>
      </c>
      <c r="J29" s="8" t="s">
        <v>30</v>
      </c>
      <c r="K29" s="8" t="s">
        <v>31</v>
      </c>
      <c r="L29" s="8" t="s">
        <v>41</v>
      </c>
      <c r="M29" s="8" t="s">
        <v>23</v>
      </c>
      <c r="N29" s="8">
        <v>61</v>
      </c>
      <c r="O29" s="8" t="s">
        <v>52</v>
      </c>
      <c r="P29" s="8" t="str">
        <f t="shared" si="0"/>
        <v>Valid</v>
      </c>
      <c r="Q29" s="8" t="str">
        <f t="shared" si="1"/>
        <v>Valid</v>
      </c>
    </row>
    <row r="30" spans="1:17" ht="13.8">
      <c r="A30" s="8" t="s">
        <v>74</v>
      </c>
      <c r="B30" s="8" t="s">
        <v>38</v>
      </c>
      <c r="C30" s="8" t="s">
        <v>17</v>
      </c>
      <c r="D30" s="7">
        <v>45853</v>
      </c>
      <c r="E30" s="7">
        <v>45803</v>
      </c>
      <c r="F30" s="8">
        <v>2563</v>
      </c>
      <c r="G30" s="8" t="s">
        <v>18</v>
      </c>
      <c r="H30" s="8" t="s">
        <v>35</v>
      </c>
      <c r="I30" s="7">
        <v>45659</v>
      </c>
      <c r="J30" s="8" t="s">
        <v>30</v>
      </c>
      <c r="K30" s="8" t="s">
        <v>43</v>
      </c>
      <c r="L30" s="8" t="s">
        <v>27</v>
      </c>
      <c r="M30" s="8" t="s">
        <v>45</v>
      </c>
      <c r="N30" s="8">
        <v>58</v>
      </c>
      <c r="O30" s="8" t="s">
        <v>52</v>
      </c>
      <c r="P30" s="8" t="str">
        <f t="shared" si="0"/>
        <v>not valid</v>
      </c>
      <c r="Q30" s="8" t="str">
        <f t="shared" si="1"/>
        <v>Not valid</v>
      </c>
    </row>
    <row r="31" spans="1:17" ht="13.8">
      <c r="A31" s="8" t="s">
        <v>75</v>
      </c>
      <c r="B31" s="8" t="s">
        <v>51</v>
      </c>
      <c r="C31" s="8" t="s">
        <v>39</v>
      </c>
      <c r="D31" s="7">
        <v>45774</v>
      </c>
      <c r="E31" s="7">
        <v>45774</v>
      </c>
      <c r="F31" s="8">
        <v>0</v>
      </c>
      <c r="G31" s="8" t="s">
        <v>34</v>
      </c>
      <c r="H31" s="8" t="s">
        <v>35</v>
      </c>
      <c r="I31" s="8" t="s">
        <v>546</v>
      </c>
      <c r="J31" s="8" t="s">
        <v>20</v>
      </c>
      <c r="K31" s="8" t="s">
        <v>31</v>
      </c>
      <c r="L31" s="8" t="s">
        <v>41</v>
      </c>
      <c r="M31" s="8" t="s">
        <v>36</v>
      </c>
      <c r="N31" s="8">
        <v>47</v>
      </c>
      <c r="O31" s="8" t="s">
        <v>46</v>
      </c>
      <c r="P31" s="8" t="str">
        <f t="shared" si="0"/>
        <v>Valid</v>
      </c>
      <c r="Q31" s="8" t="str">
        <f t="shared" si="1"/>
        <v>Valid</v>
      </c>
    </row>
    <row r="32" spans="1:17" ht="13.8">
      <c r="A32" s="8" t="s">
        <v>76</v>
      </c>
      <c r="B32" s="8" t="s">
        <v>51</v>
      </c>
      <c r="C32" s="8" t="s">
        <v>27</v>
      </c>
      <c r="D32" s="7">
        <v>45688</v>
      </c>
      <c r="E32" s="7">
        <v>45717</v>
      </c>
      <c r="F32" s="8">
        <v>0</v>
      </c>
      <c r="G32" s="8" t="s">
        <v>48</v>
      </c>
      <c r="H32" s="8" t="s">
        <v>49</v>
      </c>
      <c r="I32" s="8" t="s">
        <v>546</v>
      </c>
      <c r="J32" s="8" t="s">
        <v>20</v>
      </c>
      <c r="K32" s="8" t="s">
        <v>31</v>
      </c>
      <c r="L32" s="8" t="s">
        <v>44</v>
      </c>
      <c r="M32" s="8" t="s">
        <v>36</v>
      </c>
      <c r="N32" s="8">
        <v>65</v>
      </c>
      <c r="O32" s="8" t="s">
        <v>24</v>
      </c>
      <c r="P32" s="8" t="str">
        <f t="shared" si="0"/>
        <v>Valid</v>
      </c>
      <c r="Q32" s="8" t="str">
        <f t="shared" si="1"/>
        <v>Valid</v>
      </c>
    </row>
    <row r="33" spans="1:17" ht="13.8">
      <c r="A33" s="8" t="s">
        <v>77</v>
      </c>
      <c r="B33" s="8" t="s">
        <v>51</v>
      </c>
      <c r="C33" s="8" t="s">
        <v>39</v>
      </c>
      <c r="D33" s="7">
        <v>45711</v>
      </c>
      <c r="E33" s="7">
        <v>45711</v>
      </c>
      <c r="F33" s="8">
        <v>0</v>
      </c>
      <c r="G33" s="8" t="s">
        <v>48</v>
      </c>
      <c r="H33" s="8" t="s">
        <v>19</v>
      </c>
      <c r="I33" s="8" t="s">
        <v>546</v>
      </c>
      <c r="J33" s="8" t="s">
        <v>30</v>
      </c>
      <c r="K33" s="8" t="s">
        <v>21</v>
      </c>
      <c r="L33" s="8" t="s">
        <v>22</v>
      </c>
      <c r="M33" s="8" t="s">
        <v>36</v>
      </c>
      <c r="N33" s="8">
        <v>43</v>
      </c>
      <c r="O33" s="8" t="s">
        <v>46</v>
      </c>
      <c r="P33" s="8" t="str">
        <f t="shared" si="0"/>
        <v>Valid</v>
      </c>
      <c r="Q33" s="8" t="str">
        <f t="shared" si="1"/>
        <v>Valid</v>
      </c>
    </row>
    <row r="34" spans="1:17" ht="13.8">
      <c r="A34" s="8" t="s">
        <v>78</v>
      </c>
      <c r="B34" s="8" t="s">
        <v>16</v>
      </c>
      <c r="C34" s="8" t="s">
        <v>27</v>
      </c>
      <c r="D34" s="7">
        <v>45804</v>
      </c>
      <c r="E34" s="7">
        <v>45811</v>
      </c>
      <c r="F34" s="8">
        <v>0</v>
      </c>
      <c r="G34" s="8" t="s">
        <v>28</v>
      </c>
      <c r="H34" s="8" t="s">
        <v>29</v>
      </c>
      <c r="I34" s="8" t="s">
        <v>546</v>
      </c>
      <c r="J34" s="8" t="s">
        <v>20</v>
      </c>
      <c r="K34" s="8" t="s">
        <v>31</v>
      </c>
      <c r="L34" s="8" t="s">
        <v>41</v>
      </c>
      <c r="M34" s="8" t="s">
        <v>45</v>
      </c>
      <c r="N34" s="8">
        <v>46</v>
      </c>
      <c r="O34" s="8" t="s">
        <v>52</v>
      </c>
      <c r="P34" s="8" t="str">
        <f t="shared" si="0"/>
        <v>Valid</v>
      </c>
      <c r="Q34" s="8" t="str">
        <f t="shared" si="1"/>
        <v>Valid</v>
      </c>
    </row>
    <row r="35" spans="1:17" ht="13.8">
      <c r="A35" s="8" t="s">
        <v>79</v>
      </c>
      <c r="B35" s="8" t="s">
        <v>16</v>
      </c>
      <c r="C35" s="8" t="s">
        <v>27</v>
      </c>
      <c r="D35" s="7">
        <v>45837</v>
      </c>
      <c r="E35" s="7">
        <v>45811</v>
      </c>
      <c r="F35" s="8">
        <v>0</v>
      </c>
      <c r="G35" s="8" t="s">
        <v>48</v>
      </c>
      <c r="H35" s="8" t="s">
        <v>49</v>
      </c>
      <c r="I35" s="8" t="s">
        <v>546</v>
      </c>
      <c r="J35" s="8" t="s">
        <v>30</v>
      </c>
      <c r="K35" s="8" t="s">
        <v>31</v>
      </c>
      <c r="L35" s="8" t="s">
        <v>44</v>
      </c>
      <c r="M35" s="8" t="s">
        <v>32</v>
      </c>
      <c r="N35" s="8">
        <v>87</v>
      </c>
      <c r="O35" s="8" t="s">
        <v>46</v>
      </c>
      <c r="P35" s="8" t="str">
        <f t="shared" si="0"/>
        <v>not valid</v>
      </c>
      <c r="Q35" s="8" t="str">
        <f t="shared" si="1"/>
        <v>Valid</v>
      </c>
    </row>
    <row r="36" spans="1:17" ht="13.8">
      <c r="A36" s="8" t="s">
        <v>80</v>
      </c>
      <c r="B36" s="8" t="s">
        <v>26</v>
      </c>
      <c r="C36" s="8" t="s">
        <v>39</v>
      </c>
      <c r="D36" s="7">
        <v>45761</v>
      </c>
      <c r="E36" s="7">
        <v>45761</v>
      </c>
      <c r="F36" s="8">
        <v>0</v>
      </c>
      <c r="G36" s="8" t="s">
        <v>18</v>
      </c>
      <c r="H36" s="8" t="s">
        <v>29</v>
      </c>
      <c r="I36" s="8" t="s">
        <v>546</v>
      </c>
      <c r="J36" s="8" t="s">
        <v>20</v>
      </c>
      <c r="K36" s="8" t="s">
        <v>21</v>
      </c>
      <c r="L36" s="8" t="s">
        <v>22</v>
      </c>
      <c r="M36" s="8" t="s">
        <v>32</v>
      </c>
      <c r="N36" s="8">
        <v>76</v>
      </c>
      <c r="O36" s="8" t="s">
        <v>46</v>
      </c>
      <c r="P36" s="8" t="str">
        <f t="shared" si="0"/>
        <v>Valid</v>
      </c>
      <c r="Q36" s="8" t="str">
        <f t="shared" si="1"/>
        <v>Valid</v>
      </c>
    </row>
    <row r="37" spans="1:17" ht="13.8">
      <c r="A37" s="8" t="s">
        <v>81</v>
      </c>
      <c r="B37" s="8" t="s">
        <v>51</v>
      </c>
      <c r="C37" s="8" t="s">
        <v>39</v>
      </c>
      <c r="D37" s="7">
        <v>45852</v>
      </c>
      <c r="E37" s="7">
        <v>45852</v>
      </c>
      <c r="F37" s="8">
        <v>0</v>
      </c>
      <c r="G37" s="8" t="s">
        <v>28</v>
      </c>
      <c r="H37" s="8" t="s">
        <v>19</v>
      </c>
      <c r="I37" s="8" t="s">
        <v>546</v>
      </c>
      <c r="J37" s="8" t="s">
        <v>30</v>
      </c>
      <c r="K37" s="8" t="s">
        <v>31</v>
      </c>
      <c r="L37" s="8" t="s">
        <v>44</v>
      </c>
      <c r="M37" s="8" t="s">
        <v>36</v>
      </c>
      <c r="N37" s="8">
        <v>37</v>
      </c>
      <c r="O37" s="8" t="s">
        <v>52</v>
      </c>
      <c r="P37" s="8" t="str">
        <f t="shared" si="0"/>
        <v>Valid</v>
      </c>
      <c r="Q37" s="8" t="str">
        <f t="shared" si="1"/>
        <v>Valid</v>
      </c>
    </row>
    <row r="38" spans="1:17" ht="13.8">
      <c r="A38" s="8" t="s">
        <v>82</v>
      </c>
      <c r="B38" s="8" t="s">
        <v>16</v>
      </c>
      <c r="C38" s="8" t="s">
        <v>39</v>
      </c>
      <c r="D38" s="7">
        <v>45767</v>
      </c>
      <c r="E38" s="7">
        <v>45767</v>
      </c>
      <c r="F38" s="8">
        <v>0</v>
      </c>
      <c r="G38" s="8" t="s">
        <v>18</v>
      </c>
      <c r="H38" s="8" t="s">
        <v>49</v>
      </c>
      <c r="I38" s="8" t="s">
        <v>546</v>
      </c>
      <c r="J38" s="8" t="s">
        <v>30</v>
      </c>
      <c r="K38" s="8" t="s">
        <v>31</v>
      </c>
      <c r="L38" s="8" t="s">
        <v>22</v>
      </c>
      <c r="M38" s="8" t="s">
        <v>23</v>
      </c>
      <c r="N38" s="8">
        <v>30</v>
      </c>
      <c r="O38" s="8" t="s">
        <v>46</v>
      </c>
      <c r="P38" s="8" t="str">
        <f t="shared" si="0"/>
        <v>Valid</v>
      </c>
      <c r="Q38" s="8" t="str">
        <f t="shared" si="1"/>
        <v>Valid</v>
      </c>
    </row>
    <row r="39" spans="1:17" ht="13.8">
      <c r="A39" s="8" t="s">
        <v>83</v>
      </c>
      <c r="B39" s="8" t="s">
        <v>51</v>
      </c>
      <c r="C39" s="8" t="s">
        <v>17</v>
      </c>
      <c r="D39" s="7">
        <v>45746</v>
      </c>
      <c r="E39" s="7">
        <v>45710</v>
      </c>
      <c r="F39" s="8">
        <v>4189</v>
      </c>
      <c r="G39" s="8" t="s">
        <v>34</v>
      </c>
      <c r="H39" s="8" t="s">
        <v>35</v>
      </c>
      <c r="I39" s="7">
        <v>45824</v>
      </c>
      <c r="J39" s="8" t="s">
        <v>30</v>
      </c>
      <c r="K39" s="8" t="s">
        <v>21</v>
      </c>
      <c r="L39" s="8" t="s">
        <v>548</v>
      </c>
      <c r="M39" s="8" t="s">
        <v>32</v>
      </c>
      <c r="N39" s="8">
        <v>32</v>
      </c>
      <c r="O39" s="8" t="s">
        <v>24</v>
      </c>
      <c r="P39" s="8" t="str">
        <f t="shared" si="0"/>
        <v>not valid</v>
      </c>
      <c r="Q39" s="8" t="str">
        <f t="shared" si="1"/>
        <v>Valid</v>
      </c>
    </row>
    <row r="40" spans="1:17" ht="13.8">
      <c r="A40" s="8" t="s">
        <v>84</v>
      </c>
      <c r="B40" s="8" t="s">
        <v>51</v>
      </c>
      <c r="C40" s="8" t="s">
        <v>27</v>
      </c>
      <c r="D40" s="7">
        <v>45794</v>
      </c>
      <c r="E40" s="7">
        <v>45769</v>
      </c>
      <c r="F40" s="8">
        <v>0</v>
      </c>
      <c r="G40" s="8" t="s">
        <v>28</v>
      </c>
      <c r="H40" s="8" t="s">
        <v>29</v>
      </c>
      <c r="I40" s="8" t="s">
        <v>546</v>
      </c>
      <c r="J40" s="8" t="s">
        <v>30</v>
      </c>
      <c r="K40" s="8" t="s">
        <v>21</v>
      </c>
      <c r="L40" s="8" t="s">
        <v>27</v>
      </c>
      <c r="M40" s="8" t="s">
        <v>45</v>
      </c>
      <c r="N40" s="8">
        <v>52</v>
      </c>
      <c r="O40" s="8" t="s">
        <v>24</v>
      </c>
      <c r="P40" s="8" t="str">
        <f t="shared" si="0"/>
        <v>not valid</v>
      </c>
      <c r="Q40" s="8" t="str">
        <f t="shared" si="1"/>
        <v>Valid</v>
      </c>
    </row>
    <row r="41" spans="1:17" ht="13.8">
      <c r="A41" s="8" t="s">
        <v>85</v>
      </c>
      <c r="B41" s="8" t="s">
        <v>26</v>
      </c>
      <c r="C41" s="8" t="s">
        <v>17</v>
      </c>
      <c r="D41" s="7">
        <v>45860</v>
      </c>
      <c r="E41" s="7">
        <v>45898</v>
      </c>
      <c r="F41" s="8">
        <v>2415</v>
      </c>
      <c r="G41" s="8" t="s">
        <v>48</v>
      </c>
      <c r="H41" s="8" t="s">
        <v>35</v>
      </c>
      <c r="I41" s="7">
        <v>45858</v>
      </c>
      <c r="J41" s="8" t="s">
        <v>30</v>
      </c>
      <c r="K41" s="8" t="s">
        <v>21</v>
      </c>
      <c r="L41" s="8" t="s">
        <v>27</v>
      </c>
      <c r="M41" s="8" t="s">
        <v>23</v>
      </c>
      <c r="N41" s="8">
        <v>78</v>
      </c>
      <c r="O41" s="8" t="s">
        <v>24</v>
      </c>
      <c r="P41" s="8" t="str">
        <f t="shared" si="0"/>
        <v>Valid</v>
      </c>
      <c r="Q41" s="8" t="str">
        <f t="shared" si="1"/>
        <v>Not valid</v>
      </c>
    </row>
    <row r="42" spans="1:17" ht="13.8">
      <c r="A42" s="8" t="s">
        <v>86</v>
      </c>
      <c r="B42" s="8" t="s">
        <v>51</v>
      </c>
      <c r="C42" s="8" t="s">
        <v>27</v>
      </c>
      <c r="D42" s="7">
        <v>45914</v>
      </c>
      <c r="E42" s="7">
        <v>45791</v>
      </c>
      <c r="F42" s="8">
        <v>0</v>
      </c>
      <c r="G42" s="8" t="s">
        <v>18</v>
      </c>
      <c r="H42" s="8" t="s">
        <v>29</v>
      </c>
      <c r="I42" s="8" t="s">
        <v>546</v>
      </c>
      <c r="J42" s="8" t="s">
        <v>30</v>
      </c>
      <c r="K42" s="8" t="s">
        <v>40</v>
      </c>
      <c r="L42" s="8" t="s">
        <v>27</v>
      </c>
      <c r="M42" s="8" t="s">
        <v>32</v>
      </c>
      <c r="N42" s="8">
        <v>36</v>
      </c>
      <c r="O42" s="8" t="s">
        <v>46</v>
      </c>
      <c r="P42" s="8" t="str">
        <f t="shared" si="0"/>
        <v>not valid</v>
      </c>
      <c r="Q42" s="8" t="str">
        <f t="shared" si="1"/>
        <v>Valid</v>
      </c>
    </row>
    <row r="43" spans="1:17" ht="13.8">
      <c r="A43" s="8" t="s">
        <v>87</v>
      </c>
      <c r="B43" s="8" t="s">
        <v>51</v>
      </c>
      <c r="C43" s="8" t="s">
        <v>17</v>
      </c>
      <c r="D43" s="7">
        <v>45711</v>
      </c>
      <c r="E43" s="7">
        <v>45891</v>
      </c>
      <c r="F43" s="8">
        <v>3203</v>
      </c>
      <c r="G43" s="8" t="s">
        <v>18</v>
      </c>
      <c r="H43" s="8" t="s">
        <v>19</v>
      </c>
      <c r="I43" s="7">
        <v>45677</v>
      </c>
      <c r="J43" s="8" t="s">
        <v>30</v>
      </c>
      <c r="K43" s="8" t="s">
        <v>40</v>
      </c>
      <c r="L43" s="8" t="s">
        <v>547</v>
      </c>
      <c r="M43" s="8" t="s">
        <v>36</v>
      </c>
      <c r="N43" s="8">
        <v>60</v>
      </c>
      <c r="O43" s="8" t="s">
        <v>24</v>
      </c>
      <c r="P43" s="8" t="str">
        <f t="shared" si="0"/>
        <v>Valid</v>
      </c>
      <c r="Q43" s="8" t="str">
        <f t="shared" si="1"/>
        <v>Not valid</v>
      </c>
    </row>
    <row r="44" spans="1:17" ht="13.8">
      <c r="A44" s="8" t="s">
        <v>88</v>
      </c>
      <c r="B44" s="8" t="s">
        <v>51</v>
      </c>
      <c r="C44" s="8" t="s">
        <v>17</v>
      </c>
      <c r="D44" s="7">
        <v>45703</v>
      </c>
      <c r="E44" s="7">
        <v>45935</v>
      </c>
      <c r="F44" s="8">
        <v>2805</v>
      </c>
      <c r="G44" s="8" t="s">
        <v>28</v>
      </c>
      <c r="H44" s="8" t="s">
        <v>29</v>
      </c>
      <c r="I44" s="9">
        <v>45943</v>
      </c>
      <c r="J44" s="8" t="s">
        <v>20</v>
      </c>
      <c r="K44" s="8" t="s">
        <v>40</v>
      </c>
      <c r="L44" s="8" t="s">
        <v>27</v>
      </c>
      <c r="M44" s="8" t="s">
        <v>45</v>
      </c>
      <c r="N44" s="8">
        <v>58</v>
      </c>
      <c r="O44" s="8" t="s">
        <v>46</v>
      </c>
      <c r="P44" s="8" t="str">
        <f t="shared" si="0"/>
        <v>Valid</v>
      </c>
      <c r="Q44" s="8" t="str">
        <f t="shared" si="1"/>
        <v>Valid</v>
      </c>
    </row>
    <row r="45" spans="1:17" ht="13.8">
      <c r="A45" s="8" t="s">
        <v>89</v>
      </c>
      <c r="B45" s="8" t="s">
        <v>26</v>
      </c>
      <c r="C45" s="8" t="s">
        <v>27</v>
      </c>
      <c r="D45" s="7">
        <v>45838</v>
      </c>
      <c r="E45" s="7">
        <v>45793</v>
      </c>
      <c r="F45" s="8">
        <v>0</v>
      </c>
      <c r="G45" s="8" t="s">
        <v>34</v>
      </c>
      <c r="H45" s="8" t="s">
        <v>19</v>
      </c>
      <c r="I45" s="8" t="s">
        <v>546</v>
      </c>
      <c r="J45" s="8" t="s">
        <v>20</v>
      </c>
      <c r="K45" s="8" t="s">
        <v>21</v>
      </c>
      <c r="L45" s="8" t="s">
        <v>44</v>
      </c>
      <c r="M45" s="8" t="s">
        <v>23</v>
      </c>
      <c r="N45" s="8">
        <v>92</v>
      </c>
      <c r="O45" s="8" t="s">
        <v>24</v>
      </c>
      <c r="P45" s="8" t="str">
        <f t="shared" si="0"/>
        <v>not valid</v>
      </c>
      <c r="Q45" s="8" t="str">
        <f t="shared" si="1"/>
        <v>Valid</v>
      </c>
    </row>
    <row r="46" spans="1:17" ht="13.8">
      <c r="A46" s="8" t="s">
        <v>90</v>
      </c>
      <c r="B46" s="8" t="s">
        <v>51</v>
      </c>
      <c r="C46" s="8" t="s">
        <v>39</v>
      </c>
      <c r="D46" s="7">
        <v>45872</v>
      </c>
      <c r="E46" s="7">
        <v>45872</v>
      </c>
      <c r="F46" s="8">
        <v>0</v>
      </c>
      <c r="G46" s="8" t="s">
        <v>18</v>
      </c>
      <c r="H46" s="8" t="s">
        <v>19</v>
      </c>
      <c r="I46" s="8" t="s">
        <v>546</v>
      </c>
      <c r="J46" s="8" t="s">
        <v>20</v>
      </c>
      <c r="K46" s="8" t="s">
        <v>21</v>
      </c>
      <c r="L46" s="8" t="s">
        <v>27</v>
      </c>
      <c r="M46" s="8" t="s">
        <v>23</v>
      </c>
      <c r="N46" s="8">
        <v>65</v>
      </c>
      <c r="O46" s="8" t="s">
        <v>46</v>
      </c>
      <c r="P46" s="8" t="str">
        <f t="shared" si="0"/>
        <v>Valid</v>
      </c>
      <c r="Q46" s="8" t="str">
        <f t="shared" si="1"/>
        <v>Valid</v>
      </c>
    </row>
    <row r="47" spans="1:17" ht="13.8">
      <c r="A47" s="8" t="s">
        <v>91</v>
      </c>
      <c r="B47" s="8" t="s">
        <v>16</v>
      </c>
      <c r="C47" s="8" t="s">
        <v>17</v>
      </c>
      <c r="D47" s="7">
        <v>45938</v>
      </c>
      <c r="E47" s="9">
        <v>45941</v>
      </c>
      <c r="F47" s="8">
        <v>2134</v>
      </c>
      <c r="G47" s="8" t="s">
        <v>18</v>
      </c>
      <c r="H47" s="8" t="s">
        <v>35</v>
      </c>
      <c r="I47" s="7">
        <v>45696</v>
      </c>
      <c r="J47" s="8" t="s">
        <v>30</v>
      </c>
      <c r="K47" s="8" t="s">
        <v>21</v>
      </c>
      <c r="L47" s="8" t="s">
        <v>22</v>
      </c>
      <c r="M47" s="8" t="s">
        <v>36</v>
      </c>
      <c r="N47" s="8">
        <v>42</v>
      </c>
      <c r="O47" s="8" t="s">
        <v>46</v>
      </c>
      <c r="P47" s="8" t="str">
        <f t="shared" si="0"/>
        <v>Valid</v>
      </c>
      <c r="Q47" s="8" t="str">
        <f t="shared" si="1"/>
        <v>Not valid</v>
      </c>
    </row>
    <row r="48" spans="1:17" ht="13.8">
      <c r="A48" s="8" t="s">
        <v>92</v>
      </c>
      <c r="B48" s="8" t="s">
        <v>26</v>
      </c>
      <c r="C48" s="8" t="s">
        <v>39</v>
      </c>
      <c r="D48" s="7">
        <v>45674</v>
      </c>
      <c r="E48" s="7">
        <v>45674</v>
      </c>
      <c r="F48" s="8">
        <v>0</v>
      </c>
      <c r="G48" s="8" t="s">
        <v>18</v>
      </c>
      <c r="H48" s="8" t="s">
        <v>49</v>
      </c>
      <c r="I48" s="8" t="s">
        <v>546</v>
      </c>
      <c r="J48" s="8" t="s">
        <v>20</v>
      </c>
      <c r="K48" s="8" t="s">
        <v>40</v>
      </c>
      <c r="L48" s="8" t="s">
        <v>22</v>
      </c>
      <c r="M48" s="8" t="s">
        <v>32</v>
      </c>
      <c r="N48" s="8">
        <v>44</v>
      </c>
      <c r="O48" s="8" t="s">
        <v>46</v>
      </c>
      <c r="P48" s="8" t="str">
        <f t="shared" si="0"/>
        <v>Valid</v>
      </c>
      <c r="Q48" s="8" t="str">
        <f t="shared" si="1"/>
        <v>Valid</v>
      </c>
    </row>
    <row r="49" spans="1:17" ht="13.8">
      <c r="A49" s="8" t="s">
        <v>93</v>
      </c>
      <c r="B49" s="8" t="s">
        <v>38</v>
      </c>
      <c r="C49" s="8" t="s">
        <v>39</v>
      </c>
      <c r="D49" s="7">
        <v>45855</v>
      </c>
      <c r="E49" s="7">
        <v>45855</v>
      </c>
      <c r="F49" s="8">
        <v>0</v>
      </c>
      <c r="G49" s="8" t="s">
        <v>18</v>
      </c>
      <c r="H49" s="8" t="s">
        <v>19</v>
      </c>
      <c r="I49" s="8" t="s">
        <v>546</v>
      </c>
      <c r="J49" s="8" t="s">
        <v>20</v>
      </c>
      <c r="K49" s="8" t="s">
        <v>40</v>
      </c>
      <c r="L49" s="8" t="s">
        <v>44</v>
      </c>
      <c r="M49" s="8" t="s">
        <v>32</v>
      </c>
      <c r="N49" s="8">
        <v>86</v>
      </c>
      <c r="O49" s="8" t="s">
        <v>52</v>
      </c>
      <c r="P49" s="8" t="str">
        <f t="shared" si="0"/>
        <v>Valid</v>
      </c>
      <c r="Q49" s="8" t="str">
        <f t="shared" si="1"/>
        <v>Valid</v>
      </c>
    </row>
    <row r="50" spans="1:17" ht="13.8">
      <c r="A50" s="8" t="s">
        <v>94</v>
      </c>
      <c r="B50" s="8" t="s">
        <v>51</v>
      </c>
      <c r="C50" s="8" t="s">
        <v>17</v>
      </c>
      <c r="D50" s="7">
        <v>45927</v>
      </c>
      <c r="E50" s="7">
        <v>45799</v>
      </c>
      <c r="F50" s="8">
        <v>4113</v>
      </c>
      <c r="G50" s="8" t="s">
        <v>34</v>
      </c>
      <c r="H50" s="8" t="s">
        <v>29</v>
      </c>
      <c r="I50" s="7">
        <v>45791</v>
      </c>
      <c r="J50" s="8" t="s">
        <v>30</v>
      </c>
      <c r="K50" s="8" t="s">
        <v>40</v>
      </c>
      <c r="L50" s="8" t="s">
        <v>22</v>
      </c>
      <c r="M50" s="8" t="s">
        <v>45</v>
      </c>
      <c r="N50" s="8">
        <v>55</v>
      </c>
      <c r="O50" s="8" t="s">
        <v>52</v>
      </c>
      <c r="P50" s="8" t="str">
        <f t="shared" si="0"/>
        <v>not valid</v>
      </c>
      <c r="Q50" s="8" t="str">
        <f t="shared" si="1"/>
        <v>Not valid</v>
      </c>
    </row>
    <row r="51" spans="1:17" ht="13.8">
      <c r="A51" s="8" t="s">
        <v>95</v>
      </c>
      <c r="B51" s="8" t="s">
        <v>16</v>
      </c>
      <c r="C51" s="8" t="s">
        <v>39</v>
      </c>
      <c r="D51" s="7">
        <v>45865</v>
      </c>
      <c r="E51" s="7">
        <v>45865</v>
      </c>
      <c r="F51" s="8">
        <v>0</v>
      </c>
      <c r="G51" s="8" t="s">
        <v>34</v>
      </c>
      <c r="H51" s="8" t="s">
        <v>19</v>
      </c>
      <c r="I51" s="8" t="s">
        <v>546</v>
      </c>
      <c r="J51" s="8" t="s">
        <v>30</v>
      </c>
      <c r="K51" s="8" t="s">
        <v>43</v>
      </c>
      <c r="L51" s="8" t="s">
        <v>41</v>
      </c>
      <c r="M51" s="8" t="s">
        <v>45</v>
      </c>
      <c r="N51" s="8">
        <v>62</v>
      </c>
      <c r="O51" s="8" t="s">
        <v>52</v>
      </c>
      <c r="P51" s="8" t="str">
        <f t="shared" si="0"/>
        <v>Valid</v>
      </c>
      <c r="Q51" s="8" t="str">
        <f t="shared" si="1"/>
        <v>Valid</v>
      </c>
    </row>
    <row r="52" spans="1:17" ht="13.8">
      <c r="A52" s="8" t="s">
        <v>96</v>
      </c>
      <c r="B52" s="8" t="s">
        <v>38</v>
      </c>
      <c r="C52" s="8" t="s">
        <v>39</v>
      </c>
      <c r="D52" s="7">
        <v>45725</v>
      </c>
      <c r="E52" s="7">
        <v>45725</v>
      </c>
      <c r="F52" s="8">
        <v>0</v>
      </c>
      <c r="G52" s="8" t="s">
        <v>28</v>
      </c>
      <c r="H52" s="8" t="s">
        <v>49</v>
      </c>
      <c r="I52" s="8" t="s">
        <v>546</v>
      </c>
      <c r="J52" s="8" t="s">
        <v>20</v>
      </c>
      <c r="K52" s="8" t="s">
        <v>40</v>
      </c>
      <c r="L52" s="8" t="s">
        <v>22</v>
      </c>
      <c r="M52" s="8" t="s">
        <v>32</v>
      </c>
      <c r="N52" s="8">
        <v>49</v>
      </c>
      <c r="O52" s="8" t="s">
        <v>24</v>
      </c>
      <c r="P52" s="8" t="str">
        <f t="shared" si="0"/>
        <v>Valid</v>
      </c>
      <c r="Q52" s="8" t="str">
        <f t="shared" si="1"/>
        <v>Valid</v>
      </c>
    </row>
    <row r="53" spans="1:17" ht="13.8">
      <c r="A53" s="8" t="s">
        <v>97</v>
      </c>
      <c r="B53" s="8" t="s">
        <v>38</v>
      </c>
      <c r="C53" s="8" t="s">
        <v>39</v>
      </c>
      <c r="D53" s="7">
        <v>45769</v>
      </c>
      <c r="E53" s="7">
        <v>45769</v>
      </c>
      <c r="F53" s="8">
        <v>0</v>
      </c>
      <c r="G53" s="8" t="s">
        <v>34</v>
      </c>
      <c r="H53" s="8" t="s">
        <v>49</v>
      </c>
      <c r="I53" s="8" t="s">
        <v>546</v>
      </c>
      <c r="J53" s="8" t="s">
        <v>30</v>
      </c>
      <c r="K53" s="8" t="s">
        <v>40</v>
      </c>
      <c r="L53" s="8" t="s">
        <v>22</v>
      </c>
      <c r="M53" s="8" t="s">
        <v>45</v>
      </c>
      <c r="N53" s="8">
        <v>30</v>
      </c>
      <c r="O53" s="8" t="s">
        <v>52</v>
      </c>
      <c r="P53" s="8" t="str">
        <f t="shared" si="0"/>
        <v>Valid</v>
      </c>
      <c r="Q53" s="8" t="str">
        <f t="shared" si="1"/>
        <v>Valid</v>
      </c>
    </row>
    <row r="54" spans="1:17" ht="13.8">
      <c r="A54" s="8" t="s">
        <v>98</v>
      </c>
      <c r="B54" s="8" t="s">
        <v>38</v>
      </c>
      <c r="C54" s="8" t="s">
        <v>17</v>
      </c>
      <c r="D54" s="7">
        <v>45810</v>
      </c>
      <c r="E54" s="7">
        <v>45730</v>
      </c>
      <c r="F54" s="8">
        <v>2779</v>
      </c>
      <c r="G54" s="8" t="s">
        <v>34</v>
      </c>
      <c r="H54" s="8" t="s">
        <v>49</v>
      </c>
      <c r="I54" s="7">
        <v>45870</v>
      </c>
      <c r="J54" s="8" t="s">
        <v>20</v>
      </c>
      <c r="K54" s="8" t="s">
        <v>43</v>
      </c>
      <c r="L54" s="8" t="s">
        <v>27</v>
      </c>
      <c r="M54" s="8" t="s">
        <v>36</v>
      </c>
      <c r="N54" s="8">
        <v>80</v>
      </c>
      <c r="O54" s="8" t="s">
        <v>46</v>
      </c>
      <c r="P54" s="8" t="str">
        <f t="shared" si="0"/>
        <v>not valid</v>
      </c>
      <c r="Q54" s="8" t="str">
        <f t="shared" si="1"/>
        <v>Valid</v>
      </c>
    </row>
    <row r="55" spans="1:17" ht="13.8">
      <c r="A55" s="8" t="s">
        <v>99</v>
      </c>
      <c r="B55" s="8" t="s">
        <v>26</v>
      </c>
      <c r="C55" s="8" t="s">
        <v>27</v>
      </c>
      <c r="D55" s="7">
        <v>45897</v>
      </c>
      <c r="E55" s="7">
        <v>45771</v>
      </c>
      <c r="F55" s="8">
        <v>0</v>
      </c>
      <c r="G55" s="8" t="s">
        <v>28</v>
      </c>
      <c r="H55" s="8" t="s">
        <v>49</v>
      </c>
      <c r="I55" s="8" t="s">
        <v>546</v>
      </c>
      <c r="J55" s="8" t="s">
        <v>30</v>
      </c>
      <c r="K55" s="8" t="s">
        <v>31</v>
      </c>
      <c r="L55" s="8" t="s">
        <v>41</v>
      </c>
      <c r="M55" s="8" t="s">
        <v>45</v>
      </c>
      <c r="N55" s="8">
        <v>59</v>
      </c>
      <c r="O55" s="8" t="s">
        <v>24</v>
      </c>
      <c r="P55" s="8" t="str">
        <f t="shared" si="0"/>
        <v>not valid</v>
      </c>
      <c r="Q55" s="8" t="str">
        <f t="shared" si="1"/>
        <v>Valid</v>
      </c>
    </row>
    <row r="56" spans="1:17" ht="13.8">
      <c r="A56" s="8" t="s">
        <v>100</v>
      </c>
      <c r="B56" s="8" t="s">
        <v>26</v>
      </c>
      <c r="C56" s="8" t="s">
        <v>27</v>
      </c>
      <c r="D56" s="7">
        <v>45753</v>
      </c>
      <c r="E56" s="7">
        <v>45778</v>
      </c>
      <c r="F56" s="8">
        <v>0</v>
      </c>
      <c r="G56" s="8" t="s">
        <v>48</v>
      </c>
      <c r="H56" s="8" t="s">
        <v>19</v>
      </c>
      <c r="I56" s="8" t="s">
        <v>546</v>
      </c>
      <c r="J56" s="8" t="s">
        <v>30</v>
      </c>
      <c r="K56" s="8" t="s">
        <v>21</v>
      </c>
      <c r="L56" s="8" t="s">
        <v>44</v>
      </c>
      <c r="M56" s="8" t="s">
        <v>36</v>
      </c>
      <c r="N56" s="8">
        <v>63</v>
      </c>
      <c r="O56" s="8" t="s">
        <v>24</v>
      </c>
      <c r="P56" s="8" t="str">
        <f t="shared" si="0"/>
        <v>Valid</v>
      </c>
      <c r="Q56" s="8" t="str">
        <f t="shared" si="1"/>
        <v>Valid</v>
      </c>
    </row>
    <row r="57" spans="1:17" ht="13.8">
      <c r="A57" s="8" t="s">
        <v>101</v>
      </c>
      <c r="B57" s="8" t="s">
        <v>16</v>
      </c>
      <c r="C57" s="8" t="s">
        <v>39</v>
      </c>
      <c r="D57" s="7">
        <v>45751</v>
      </c>
      <c r="E57" s="7">
        <v>45751</v>
      </c>
      <c r="F57" s="8">
        <v>0</v>
      </c>
      <c r="G57" s="8" t="s">
        <v>18</v>
      </c>
      <c r="H57" s="8" t="s">
        <v>29</v>
      </c>
      <c r="I57" s="8" t="s">
        <v>546</v>
      </c>
      <c r="J57" s="8" t="s">
        <v>30</v>
      </c>
      <c r="K57" s="8" t="s">
        <v>21</v>
      </c>
      <c r="L57" s="8" t="s">
        <v>27</v>
      </c>
      <c r="M57" s="8" t="s">
        <v>36</v>
      </c>
      <c r="N57" s="8">
        <v>31</v>
      </c>
      <c r="O57" s="8" t="s">
        <v>52</v>
      </c>
      <c r="P57" s="8" t="str">
        <f t="shared" si="0"/>
        <v>Valid</v>
      </c>
      <c r="Q57" s="8" t="str">
        <f t="shared" si="1"/>
        <v>Valid</v>
      </c>
    </row>
    <row r="58" spans="1:17" ht="13.8">
      <c r="A58" s="8" t="s">
        <v>102</v>
      </c>
      <c r="B58" s="8" t="s">
        <v>26</v>
      </c>
      <c r="C58" s="8" t="s">
        <v>39</v>
      </c>
      <c r="D58" s="7">
        <v>45661</v>
      </c>
      <c r="E58" s="7">
        <v>45661</v>
      </c>
      <c r="F58" s="8">
        <v>0</v>
      </c>
      <c r="G58" s="8" t="s">
        <v>34</v>
      </c>
      <c r="H58" s="8" t="s">
        <v>35</v>
      </c>
      <c r="I58" s="8" t="s">
        <v>546</v>
      </c>
      <c r="J58" s="8" t="s">
        <v>20</v>
      </c>
      <c r="K58" s="8" t="s">
        <v>21</v>
      </c>
      <c r="L58" s="8" t="s">
        <v>41</v>
      </c>
      <c r="M58" s="8" t="s">
        <v>45</v>
      </c>
      <c r="N58" s="8">
        <v>69</v>
      </c>
      <c r="O58" s="8" t="s">
        <v>24</v>
      </c>
      <c r="P58" s="8" t="str">
        <f t="shared" si="0"/>
        <v>Valid</v>
      </c>
      <c r="Q58" s="8" t="str">
        <f t="shared" si="1"/>
        <v>Valid</v>
      </c>
    </row>
    <row r="59" spans="1:17" ht="13.8">
      <c r="A59" s="8" t="s">
        <v>103</v>
      </c>
      <c r="B59" s="8" t="s">
        <v>51</v>
      </c>
      <c r="C59" s="8" t="s">
        <v>27</v>
      </c>
      <c r="D59" s="7">
        <v>45881</v>
      </c>
      <c r="E59" s="7">
        <v>45836</v>
      </c>
      <c r="F59" s="8">
        <v>0</v>
      </c>
      <c r="G59" s="8" t="s">
        <v>48</v>
      </c>
      <c r="H59" s="8" t="s">
        <v>29</v>
      </c>
      <c r="I59" s="8" t="s">
        <v>546</v>
      </c>
      <c r="J59" s="8" t="s">
        <v>30</v>
      </c>
      <c r="K59" s="8" t="s">
        <v>21</v>
      </c>
      <c r="L59" s="8" t="s">
        <v>22</v>
      </c>
      <c r="M59" s="8" t="s">
        <v>23</v>
      </c>
      <c r="N59" s="8">
        <v>56</v>
      </c>
      <c r="O59" s="8" t="s">
        <v>52</v>
      </c>
      <c r="P59" s="8" t="str">
        <f t="shared" si="0"/>
        <v>not valid</v>
      </c>
      <c r="Q59" s="8" t="str">
        <f t="shared" si="1"/>
        <v>Valid</v>
      </c>
    </row>
    <row r="60" spans="1:17" ht="13.8">
      <c r="A60" s="8" t="s">
        <v>104</v>
      </c>
      <c r="B60" s="8" t="s">
        <v>16</v>
      </c>
      <c r="C60" s="8" t="s">
        <v>27</v>
      </c>
      <c r="D60" s="7">
        <v>45797</v>
      </c>
      <c r="E60" s="7">
        <v>45865</v>
      </c>
      <c r="F60" s="8">
        <v>0</v>
      </c>
      <c r="G60" s="8" t="s">
        <v>34</v>
      </c>
      <c r="H60" s="8" t="s">
        <v>29</v>
      </c>
      <c r="I60" s="8" t="s">
        <v>546</v>
      </c>
      <c r="J60" s="8" t="s">
        <v>30</v>
      </c>
      <c r="K60" s="8" t="s">
        <v>43</v>
      </c>
      <c r="L60" s="8" t="s">
        <v>27</v>
      </c>
      <c r="M60" s="8" t="s">
        <v>36</v>
      </c>
      <c r="N60" s="8">
        <v>63</v>
      </c>
      <c r="O60" s="8" t="s">
        <v>46</v>
      </c>
      <c r="P60" s="8" t="str">
        <f t="shared" si="0"/>
        <v>Valid</v>
      </c>
      <c r="Q60" s="8" t="str">
        <f t="shared" si="1"/>
        <v>Valid</v>
      </c>
    </row>
    <row r="61" spans="1:17" ht="13.8">
      <c r="A61" s="8" t="s">
        <v>105</v>
      </c>
      <c r="B61" s="8" t="s">
        <v>51</v>
      </c>
      <c r="C61" s="8" t="s">
        <v>17</v>
      </c>
      <c r="D61" s="7">
        <v>45838</v>
      </c>
      <c r="E61" s="7">
        <v>45820</v>
      </c>
      <c r="F61" s="8">
        <v>2956</v>
      </c>
      <c r="G61" s="8" t="s">
        <v>34</v>
      </c>
      <c r="H61" s="8" t="s">
        <v>35</v>
      </c>
      <c r="I61" s="7">
        <v>45817</v>
      </c>
      <c r="J61" s="8" t="s">
        <v>30</v>
      </c>
      <c r="K61" s="8" t="s">
        <v>43</v>
      </c>
      <c r="L61" s="8" t="s">
        <v>22</v>
      </c>
      <c r="M61" s="8" t="s">
        <v>32</v>
      </c>
      <c r="N61" s="8">
        <v>83</v>
      </c>
      <c r="O61" s="8" t="s">
        <v>52</v>
      </c>
      <c r="P61" s="8" t="str">
        <f t="shared" si="0"/>
        <v>not valid</v>
      </c>
      <c r="Q61" s="8" t="str">
        <f t="shared" si="1"/>
        <v>Not valid</v>
      </c>
    </row>
    <row r="62" spans="1:17" ht="13.8">
      <c r="A62" s="8" t="s">
        <v>106</v>
      </c>
      <c r="B62" s="8" t="s">
        <v>51</v>
      </c>
      <c r="C62" s="8" t="s">
        <v>27</v>
      </c>
      <c r="D62" s="7">
        <v>45692</v>
      </c>
      <c r="E62" s="7">
        <v>45731</v>
      </c>
      <c r="F62" s="8">
        <v>0</v>
      </c>
      <c r="G62" s="8" t="s">
        <v>18</v>
      </c>
      <c r="H62" s="8" t="s">
        <v>49</v>
      </c>
      <c r="I62" s="8" t="s">
        <v>546</v>
      </c>
      <c r="J62" s="8" t="s">
        <v>20</v>
      </c>
      <c r="K62" s="8" t="s">
        <v>31</v>
      </c>
      <c r="L62" s="8" t="s">
        <v>41</v>
      </c>
      <c r="M62" s="8" t="s">
        <v>23</v>
      </c>
      <c r="N62" s="8">
        <v>92</v>
      </c>
      <c r="O62" s="8" t="s">
        <v>46</v>
      </c>
      <c r="P62" s="8" t="str">
        <f t="shared" si="0"/>
        <v>Valid</v>
      </c>
      <c r="Q62" s="8" t="str">
        <f t="shared" si="1"/>
        <v>Valid</v>
      </c>
    </row>
    <row r="63" spans="1:17" ht="13.8">
      <c r="A63" s="8" t="s">
        <v>107</v>
      </c>
      <c r="B63" s="8" t="s">
        <v>38</v>
      </c>
      <c r="C63" s="8" t="s">
        <v>27</v>
      </c>
      <c r="D63" s="7">
        <v>45714</v>
      </c>
      <c r="E63" s="7">
        <v>45794</v>
      </c>
      <c r="F63" s="8">
        <v>0</v>
      </c>
      <c r="G63" s="8" t="s">
        <v>18</v>
      </c>
      <c r="H63" s="8" t="s">
        <v>29</v>
      </c>
      <c r="I63" s="8" t="s">
        <v>546</v>
      </c>
      <c r="J63" s="8" t="s">
        <v>30</v>
      </c>
      <c r="K63" s="8" t="s">
        <v>43</v>
      </c>
      <c r="L63" s="8" t="s">
        <v>27</v>
      </c>
      <c r="M63" s="8" t="s">
        <v>23</v>
      </c>
      <c r="N63" s="8">
        <v>55</v>
      </c>
      <c r="O63" s="8" t="s">
        <v>24</v>
      </c>
      <c r="P63" s="8" t="str">
        <f t="shared" si="0"/>
        <v>Valid</v>
      </c>
      <c r="Q63" s="8" t="str">
        <f t="shared" si="1"/>
        <v>Valid</v>
      </c>
    </row>
    <row r="64" spans="1:17" ht="13.8">
      <c r="A64" s="8" t="s">
        <v>108</v>
      </c>
      <c r="B64" s="8" t="s">
        <v>38</v>
      </c>
      <c r="C64" s="8" t="s">
        <v>39</v>
      </c>
      <c r="D64" s="7">
        <v>45799</v>
      </c>
      <c r="E64" s="7">
        <v>45799</v>
      </c>
      <c r="F64" s="8">
        <v>0</v>
      </c>
      <c r="G64" s="8" t="s">
        <v>48</v>
      </c>
      <c r="H64" s="8" t="s">
        <v>35</v>
      </c>
      <c r="I64" s="8" t="s">
        <v>546</v>
      </c>
      <c r="J64" s="8" t="s">
        <v>30</v>
      </c>
      <c r="K64" s="8" t="s">
        <v>31</v>
      </c>
      <c r="L64" s="8" t="s">
        <v>27</v>
      </c>
      <c r="M64" s="8" t="s">
        <v>36</v>
      </c>
      <c r="N64" s="8">
        <v>92</v>
      </c>
      <c r="O64" s="8" t="s">
        <v>24</v>
      </c>
      <c r="P64" s="8" t="str">
        <f t="shared" si="0"/>
        <v>Valid</v>
      </c>
      <c r="Q64" s="8" t="str">
        <f t="shared" si="1"/>
        <v>Valid</v>
      </c>
    </row>
    <row r="65" spans="1:17" ht="13.8">
      <c r="A65" s="8" t="s">
        <v>109</v>
      </c>
      <c r="B65" s="8" t="s">
        <v>26</v>
      </c>
      <c r="C65" s="8" t="s">
        <v>39</v>
      </c>
      <c r="D65" s="7">
        <v>45713</v>
      </c>
      <c r="E65" s="7">
        <v>45713</v>
      </c>
      <c r="F65" s="8">
        <v>0</v>
      </c>
      <c r="G65" s="8" t="s">
        <v>48</v>
      </c>
      <c r="H65" s="8" t="s">
        <v>29</v>
      </c>
      <c r="I65" s="8" t="s">
        <v>546</v>
      </c>
      <c r="J65" s="8" t="s">
        <v>30</v>
      </c>
      <c r="K65" s="8" t="s">
        <v>43</v>
      </c>
      <c r="L65" s="8" t="s">
        <v>27</v>
      </c>
      <c r="M65" s="8" t="s">
        <v>32</v>
      </c>
      <c r="N65" s="8">
        <v>31</v>
      </c>
      <c r="O65" s="8" t="s">
        <v>46</v>
      </c>
      <c r="P65" s="8" t="str">
        <f t="shared" si="0"/>
        <v>Valid</v>
      </c>
      <c r="Q65" s="8" t="str">
        <f t="shared" si="1"/>
        <v>Valid</v>
      </c>
    </row>
    <row r="66" spans="1:17" ht="13.8">
      <c r="A66" s="8" t="s">
        <v>110</v>
      </c>
      <c r="B66" s="8" t="s">
        <v>26</v>
      </c>
      <c r="C66" s="8" t="s">
        <v>17</v>
      </c>
      <c r="D66" s="7">
        <v>45664</v>
      </c>
      <c r="E66" s="7">
        <v>45885</v>
      </c>
      <c r="F66" s="8">
        <v>2897</v>
      </c>
      <c r="G66" s="8" t="s">
        <v>28</v>
      </c>
      <c r="H66" s="8" t="s">
        <v>19</v>
      </c>
      <c r="I66" s="7">
        <v>45688</v>
      </c>
      <c r="J66" s="8" t="s">
        <v>20</v>
      </c>
      <c r="K66" s="8" t="s">
        <v>40</v>
      </c>
      <c r="L66" s="8" t="s">
        <v>547</v>
      </c>
      <c r="M66" s="8" t="s">
        <v>23</v>
      </c>
      <c r="N66" s="8">
        <v>50</v>
      </c>
      <c r="O66" s="8" t="s">
        <v>46</v>
      </c>
      <c r="P66" s="8" t="str">
        <f t="shared" ref="P66:P129" si="2">IF(OR(D66&lt;E66,D66=E66), "Valid","not valid")</f>
        <v>Valid</v>
      </c>
      <c r="Q66" s="8" t="str">
        <f t="shared" ref="Q66:Q129" si="3">IF(OR(D66 &lt;I66,D66=I66),"Valid","Not valid")</f>
        <v>Valid</v>
      </c>
    </row>
    <row r="67" spans="1:17" ht="13.8">
      <c r="A67" s="8" t="s">
        <v>111</v>
      </c>
      <c r="B67" s="8" t="s">
        <v>38</v>
      </c>
      <c r="C67" s="8" t="s">
        <v>17</v>
      </c>
      <c r="D67" s="7">
        <v>45798</v>
      </c>
      <c r="E67" s="7">
        <v>45876</v>
      </c>
      <c r="F67" s="8">
        <v>2908</v>
      </c>
      <c r="G67" s="8" t="s">
        <v>34</v>
      </c>
      <c r="H67" s="8" t="s">
        <v>35</v>
      </c>
      <c r="I67" s="7">
        <v>45792</v>
      </c>
      <c r="J67" s="8" t="s">
        <v>30</v>
      </c>
      <c r="K67" s="8" t="s">
        <v>21</v>
      </c>
      <c r="L67" s="8" t="s">
        <v>548</v>
      </c>
      <c r="M67" s="8" t="s">
        <v>45</v>
      </c>
      <c r="N67" s="8">
        <v>35</v>
      </c>
      <c r="O67" s="8" t="s">
        <v>52</v>
      </c>
      <c r="P67" s="8" t="str">
        <f t="shared" si="2"/>
        <v>Valid</v>
      </c>
      <c r="Q67" s="8" t="str">
        <f t="shared" si="3"/>
        <v>Not valid</v>
      </c>
    </row>
    <row r="68" spans="1:17" ht="13.8">
      <c r="A68" s="8" t="s">
        <v>112</v>
      </c>
      <c r="B68" s="8" t="s">
        <v>26</v>
      </c>
      <c r="C68" s="8" t="s">
        <v>39</v>
      </c>
      <c r="D68" s="7">
        <v>45658</v>
      </c>
      <c r="E68" s="7">
        <v>45658</v>
      </c>
      <c r="F68" s="8">
        <v>0</v>
      </c>
      <c r="G68" s="8" t="s">
        <v>34</v>
      </c>
      <c r="H68" s="8" t="s">
        <v>49</v>
      </c>
      <c r="I68" s="8" t="s">
        <v>546</v>
      </c>
      <c r="J68" s="8" t="s">
        <v>20</v>
      </c>
      <c r="K68" s="8" t="s">
        <v>21</v>
      </c>
      <c r="L68" s="8" t="s">
        <v>27</v>
      </c>
      <c r="M68" s="8" t="s">
        <v>45</v>
      </c>
      <c r="N68" s="8">
        <v>94</v>
      </c>
      <c r="O68" s="8" t="s">
        <v>24</v>
      </c>
      <c r="P68" s="8" t="str">
        <f t="shared" si="2"/>
        <v>Valid</v>
      </c>
      <c r="Q68" s="8" t="str">
        <f t="shared" si="3"/>
        <v>Valid</v>
      </c>
    </row>
    <row r="69" spans="1:17" ht="13.8">
      <c r="A69" s="8" t="s">
        <v>113</v>
      </c>
      <c r="B69" s="8" t="s">
        <v>16</v>
      </c>
      <c r="C69" s="8" t="s">
        <v>17</v>
      </c>
      <c r="D69" s="7">
        <v>45674</v>
      </c>
      <c r="E69" s="7">
        <v>45841</v>
      </c>
      <c r="F69" s="8">
        <v>4291</v>
      </c>
      <c r="G69" s="8" t="s">
        <v>18</v>
      </c>
      <c r="H69" s="8" t="s">
        <v>29</v>
      </c>
      <c r="I69" s="7">
        <v>45759</v>
      </c>
      <c r="J69" s="8" t="s">
        <v>20</v>
      </c>
      <c r="K69" s="8" t="s">
        <v>21</v>
      </c>
      <c r="L69" s="8" t="s">
        <v>22</v>
      </c>
      <c r="M69" s="8" t="s">
        <v>23</v>
      </c>
      <c r="N69" s="8">
        <v>79</v>
      </c>
      <c r="O69" s="8" t="s">
        <v>52</v>
      </c>
      <c r="P69" s="8" t="str">
        <f t="shared" si="2"/>
        <v>Valid</v>
      </c>
      <c r="Q69" s="8" t="str">
        <f t="shared" si="3"/>
        <v>Valid</v>
      </c>
    </row>
    <row r="70" spans="1:17" ht="13.8">
      <c r="A70" s="8" t="s">
        <v>114</v>
      </c>
      <c r="B70" s="8" t="s">
        <v>26</v>
      </c>
      <c r="C70" s="8" t="s">
        <v>39</v>
      </c>
      <c r="D70" s="7">
        <v>45934</v>
      </c>
      <c r="E70" s="7">
        <v>45934</v>
      </c>
      <c r="F70" s="8">
        <v>0</v>
      </c>
      <c r="G70" s="8" t="s">
        <v>28</v>
      </c>
      <c r="H70" s="8" t="s">
        <v>35</v>
      </c>
      <c r="I70" s="8" t="s">
        <v>546</v>
      </c>
      <c r="J70" s="8" t="s">
        <v>20</v>
      </c>
      <c r="K70" s="8" t="s">
        <v>21</v>
      </c>
      <c r="L70" s="8" t="s">
        <v>27</v>
      </c>
      <c r="M70" s="8" t="s">
        <v>23</v>
      </c>
      <c r="N70" s="8">
        <v>91</v>
      </c>
      <c r="O70" s="8" t="s">
        <v>52</v>
      </c>
      <c r="P70" s="8" t="str">
        <f t="shared" si="2"/>
        <v>Valid</v>
      </c>
      <c r="Q70" s="8" t="str">
        <f t="shared" si="3"/>
        <v>Valid</v>
      </c>
    </row>
    <row r="71" spans="1:17" ht="13.8">
      <c r="A71" s="8" t="s">
        <v>115</v>
      </c>
      <c r="B71" s="8" t="s">
        <v>16</v>
      </c>
      <c r="C71" s="8" t="s">
        <v>17</v>
      </c>
      <c r="D71" s="7">
        <v>45844</v>
      </c>
      <c r="E71" s="7">
        <v>45737</v>
      </c>
      <c r="F71" s="8">
        <v>2647</v>
      </c>
      <c r="G71" s="8" t="s">
        <v>18</v>
      </c>
      <c r="H71" s="8" t="s">
        <v>49</v>
      </c>
      <c r="I71" s="7">
        <v>45876</v>
      </c>
      <c r="J71" s="8" t="s">
        <v>30</v>
      </c>
      <c r="K71" s="8" t="s">
        <v>31</v>
      </c>
      <c r="L71" s="8" t="s">
        <v>22</v>
      </c>
      <c r="M71" s="8" t="s">
        <v>45</v>
      </c>
      <c r="N71" s="8">
        <v>34</v>
      </c>
      <c r="O71" s="8" t="s">
        <v>46</v>
      </c>
      <c r="P71" s="8" t="str">
        <f t="shared" si="2"/>
        <v>not valid</v>
      </c>
      <c r="Q71" s="8" t="str">
        <f t="shared" si="3"/>
        <v>Valid</v>
      </c>
    </row>
    <row r="72" spans="1:17" ht="13.8">
      <c r="A72" s="8" t="s">
        <v>116</v>
      </c>
      <c r="B72" s="8" t="s">
        <v>38</v>
      </c>
      <c r="C72" s="8" t="s">
        <v>39</v>
      </c>
      <c r="D72" s="7">
        <v>45893</v>
      </c>
      <c r="E72" s="7">
        <v>45893</v>
      </c>
      <c r="F72" s="8">
        <v>0</v>
      </c>
      <c r="G72" s="8" t="s">
        <v>28</v>
      </c>
      <c r="H72" s="8" t="s">
        <v>49</v>
      </c>
      <c r="I72" s="8" t="s">
        <v>546</v>
      </c>
      <c r="J72" s="8" t="s">
        <v>20</v>
      </c>
      <c r="K72" s="8" t="s">
        <v>43</v>
      </c>
      <c r="L72" s="8" t="s">
        <v>22</v>
      </c>
      <c r="M72" s="8" t="s">
        <v>45</v>
      </c>
      <c r="N72" s="8">
        <v>39</v>
      </c>
      <c r="O72" s="8" t="s">
        <v>46</v>
      </c>
      <c r="P72" s="8" t="str">
        <f t="shared" si="2"/>
        <v>Valid</v>
      </c>
      <c r="Q72" s="8" t="str">
        <f t="shared" si="3"/>
        <v>Valid</v>
      </c>
    </row>
    <row r="73" spans="1:17" ht="13.8">
      <c r="A73" s="8" t="s">
        <v>117</v>
      </c>
      <c r="B73" s="8" t="s">
        <v>26</v>
      </c>
      <c r="C73" s="8" t="s">
        <v>39</v>
      </c>
      <c r="D73" s="7">
        <v>45668</v>
      </c>
      <c r="E73" s="7">
        <v>45668</v>
      </c>
      <c r="F73" s="8">
        <v>0</v>
      </c>
      <c r="G73" s="8" t="s">
        <v>18</v>
      </c>
      <c r="H73" s="8" t="s">
        <v>35</v>
      </c>
      <c r="I73" s="8" t="s">
        <v>546</v>
      </c>
      <c r="J73" s="8" t="s">
        <v>30</v>
      </c>
      <c r="K73" s="8" t="s">
        <v>40</v>
      </c>
      <c r="L73" s="8" t="s">
        <v>27</v>
      </c>
      <c r="M73" s="8" t="s">
        <v>45</v>
      </c>
      <c r="N73" s="8">
        <v>35</v>
      </c>
      <c r="O73" s="8" t="s">
        <v>46</v>
      </c>
      <c r="P73" s="8" t="str">
        <f t="shared" si="2"/>
        <v>Valid</v>
      </c>
      <c r="Q73" s="8" t="str">
        <f t="shared" si="3"/>
        <v>Valid</v>
      </c>
    </row>
    <row r="74" spans="1:17" ht="13.8">
      <c r="A74" s="8" t="s">
        <v>118</v>
      </c>
      <c r="B74" s="8" t="s">
        <v>16</v>
      </c>
      <c r="C74" s="8" t="s">
        <v>39</v>
      </c>
      <c r="D74" s="7">
        <v>45684</v>
      </c>
      <c r="E74" s="7">
        <v>45684</v>
      </c>
      <c r="F74" s="8">
        <v>0</v>
      </c>
      <c r="G74" s="8" t="s">
        <v>34</v>
      </c>
      <c r="H74" s="8" t="s">
        <v>29</v>
      </c>
      <c r="I74" s="8" t="s">
        <v>546</v>
      </c>
      <c r="J74" s="8" t="s">
        <v>20</v>
      </c>
      <c r="K74" s="8" t="s">
        <v>43</v>
      </c>
      <c r="L74" s="8" t="s">
        <v>27</v>
      </c>
      <c r="M74" s="8" t="s">
        <v>36</v>
      </c>
      <c r="N74" s="8">
        <v>32</v>
      </c>
      <c r="O74" s="8" t="s">
        <v>46</v>
      </c>
      <c r="P74" s="8" t="str">
        <f t="shared" si="2"/>
        <v>Valid</v>
      </c>
      <c r="Q74" s="8" t="str">
        <f t="shared" si="3"/>
        <v>Valid</v>
      </c>
    </row>
    <row r="75" spans="1:17" ht="13.8">
      <c r="A75" s="8" t="s">
        <v>119</v>
      </c>
      <c r="B75" s="8" t="s">
        <v>16</v>
      </c>
      <c r="C75" s="8" t="s">
        <v>17</v>
      </c>
      <c r="D75" s="7">
        <v>45683</v>
      </c>
      <c r="E75" s="7">
        <v>45912</v>
      </c>
      <c r="F75" s="8">
        <v>4535</v>
      </c>
      <c r="G75" s="8" t="s">
        <v>18</v>
      </c>
      <c r="H75" s="8" t="s">
        <v>35</v>
      </c>
      <c r="I75" s="7">
        <v>45919</v>
      </c>
      <c r="J75" s="8" t="s">
        <v>30</v>
      </c>
      <c r="K75" s="8" t="s">
        <v>21</v>
      </c>
      <c r="L75" s="8" t="s">
        <v>22</v>
      </c>
      <c r="M75" s="8" t="s">
        <v>32</v>
      </c>
      <c r="N75" s="8">
        <v>35</v>
      </c>
      <c r="O75" s="8" t="s">
        <v>24</v>
      </c>
      <c r="P75" s="8" t="str">
        <f t="shared" si="2"/>
        <v>Valid</v>
      </c>
      <c r="Q75" s="8" t="str">
        <f t="shared" si="3"/>
        <v>Valid</v>
      </c>
    </row>
    <row r="76" spans="1:17" ht="13.8">
      <c r="A76" s="8" t="s">
        <v>120</v>
      </c>
      <c r="B76" s="8" t="s">
        <v>38</v>
      </c>
      <c r="C76" s="8" t="s">
        <v>17</v>
      </c>
      <c r="D76" s="7">
        <v>45844</v>
      </c>
      <c r="E76" s="9">
        <v>45942</v>
      </c>
      <c r="F76" s="8">
        <v>2087</v>
      </c>
      <c r="G76" s="8" t="s">
        <v>18</v>
      </c>
      <c r="H76" s="8" t="s">
        <v>49</v>
      </c>
      <c r="I76" s="7">
        <v>45863</v>
      </c>
      <c r="J76" s="8" t="s">
        <v>30</v>
      </c>
      <c r="K76" s="8" t="s">
        <v>31</v>
      </c>
      <c r="L76" s="8" t="s">
        <v>22</v>
      </c>
      <c r="M76" s="8" t="s">
        <v>32</v>
      </c>
      <c r="N76" s="8">
        <v>50</v>
      </c>
      <c r="O76" s="8" t="s">
        <v>24</v>
      </c>
      <c r="P76" s="8" t="str">
        <f t="shared" si="2"/>
        <v>Valid</v>
      </c>
      <c r="Q76" s="8" t="str">
        <f t="shared" si="3"/>
        <v>Valid</v>
      </c>
    </row>
    <row r="77" spans="1:17" ht="13.8">
      <c r="A77" s="8" t="s">
        <v>121</v>
      </c>
      <c r="B77" s="8" t="s">
        <v>38</v>
      </c>
      <c r="C77" s="8" t="s">
        <v>17</v>
      </c>
      <c r="D77" s="7">
        <v>45703</v>
      </c>
      <c r="E77" s="7">
        <v>45935</v>
      </c>
      <c r="F77" s="8">
        <v>4647</v>
      </c>
      <c r="G77" s="8" t="s">
        <v>18</v>
      </c>
      <c r="H77" s="8" t="s">
        <v>35</v>
      </c>
      <c r="I77" s="7">
        <v>45864</v>
      </c>
      <c r="J77" s="8" t="s">
        <v>30</v>
      </c>
      <c r="K77" s="8" t="s">
        <v>31</v>
      </c>
      <c r="L77" s="8" t="s">
        <v>547</v>
      </c>
      <c r="M77" s="8" t="s">
        <v>36</v>
      </c>
      <c r="N77" s="8">
        <v>83</v>
      </c>
      <c r="O77" s="8" t="s">
        <v>52</v>
      </c>
      <c r="P77" s="8" t="str">
        <f t="shared" si="2"/>
        <v>Valid</v>
      </c>
      <c r="Q77" s="8" t="str">
        <f t="shared" si="3"/>
        <v>Valid</v>
      </c>
    </row>
    <row r="78" spans="1:17" ht="13.8">
      <c r="A78" s="8" t="s">
        <v>122</v>
      </c>
      <c r="B78" s="8" t="s">
        <v>26</v>
      </c>
      <c r="C78" s="8" t="s">
        <v>39</v>
      </c>
      <c r="D78" s="7">
        <v>45698</v>
      </c>
      <c r="E78" s="7">
        <v>45698</v>
      </c>
      <c r="F78" s="8">
        <v>0</v>
      </c>
      <c r="G78" s="8" t="s">
        <v>48</v>
      </c>
      <c r="H78" s="8" t="s">
        <v>49</v>
      </c>
      <c r="I78" s="8" t="s">
        <v>546</v>
      </c>
      <c r="J78" s="8" t="s">
        <v>30</v>
      </c>
      <c r="K78" s="8" t="s">
        <v>43</v>
      </c>
      <c r="L78" s="8" t="s">
        <v>44</v>
      </c>
      <c r="M78" s="8" t="s">
        <v>32</v>
      </c>
      <c r="N78" s="8">
        <v>65</v>
      </c>
      <c r="O78" s="8" t="s">
        <v>24</v>
      </c>
      <c r="P78" s="8" t="str">
        <f t="shared" si="2"/>
        <v>Valid</v>
      </c>
      <c r="Q78" s="8" t="str">
        <f t="shared" si="3"/>
        <v>Valid</v>
      </c>
    </row>
    <row r="79" spans="1:17" ht="13.8">
      <c r="A79" s="8" t="s">
        <v>123</v>
      </c>
      <c r="B79" s="8" t="s">
        <v>38</v>
      </c>
      <c r="C79" s="8" t="s">
        <v>27</v>
      </c>
      <c r="D79" s="7">
        <v>45762</v>
      </c>
      <c r="E79" s="7">
        <v>45819</v>
      </c>
      <c r="F79" s="8">
        <v>0</v>
      </c>
      <c r="G79" s="8" t="s">
        <v>18</v>
      </c>
      <c r="H79" s="8" t="s">
        <v>19</v>
      </c>
      <c r="I79" s="8" t="s">
        <v>546</v>
      </c>
      <c r="J79" s="8" t="s">
        <v>30</v>
      </c>
      <c r="K79" s="8" t="s">
        <v>40</v>
      </c>
      <c r="L79" s="8" t="s">
        <v>44</v>
      </c>
      <c r="M79" s="8" t="s">
        <v>23</v>
      </c>
      <c r="N79" s="8">
        <v>32</v>
      </c>
      <c r="O79" s="8" t="s">
        <v>46</v>
      </c>
      <c r="P79" s="8" t="str">
        <f t="shared" si="2"/>
        <v>Valid</v>
      </c>
      <c r="Q79" s="8" t="str">
        <f t="shared" si="3"/>
        <v>Valid</v>
      </c>
    </row>
    <row r="80" spans="1:17" ht="13.8">
      <c r="A80" s="8" t="s">
        <v>124</v>
      </c>
      <c r="B80" s="8" t="s">
        <v>26</v>
      </c>
      <c r="C80" s="8" t="s">
        <v>39</v>
      </c>
      <c r="D80" s="7">
        <v>45890</v>
      </c>
      <c r="E80" s="7">
        <v>45890</v>
      </c>
      <c r="F80" s="8">
        <v>0</v>
      </c>
      <c r="G80" s="8" t="s">
        <v>48</v>
      </c>
      <c r="H80" s="8" t="s">
        <v>35</v>
      </c>
      <c r="I80" s="8" t="s">
        <v>546</v>
      </c>
      <c r="J80" s="8" t="s">
        <v>20</v>
      </c>
      <c r="K80" s="8" t="s">
        <v>31</v>
      </c>
      <c r="L80" s="8" t="s">
        <v>22</v>
      </c>
      <c r="M80" s="8" t="s">
        <v>23</v>
      </c>
      <c r="N80" s="8">
        <v>71</v>
      </c>
      <c r="O80" s="8" t="s">
        <v>24</v>
      </c>
      <c r="P80" s="8" t="str">
        <f t="shared" si="2"/>
        <v>Valid</v>
      </c>
      <c r="Q80" s="8" t="str">
        <f t="shared" si="3"/>
        <v>Valid</v>
      </c>
    </row>
    <row r="81" spans="1:17" ht="13.8">
      <c r="A81" s="8" t="s">
        <v>125</v>
      </c>
      <c r="B81" s="8" t="s">
        <v>16</v>
      </c>
      <c r="C81" s="8" t="s">
        <v>27</v>
      </c>
      <c r="D81" s="7">
        <v>45697</v>
      </c>
      <c r="E81" s="7">
        <v>45819</v>
      </c>
      <c r="F81" s="8">
        <v>0</v>
      </c>
      <c r="G81" s="8" t="s">
        <v>48</v>
      </c>
      <c r="H81" s="8" t="s">
        <v>29</v>
      </c>
      <c r="I81" s="8" t="s">
        <v>546</v>
      </c>
      <c r="J81" s="8" t="s">
        <v>20</v>
      </c>
      <c r="K81" s="8" t="s">
        <v>40</v>
      </c>
      <c r="L81" s="8" t="s">
        <v>22</v>
      </c>
      <c r="M81" s="8" t="s">
        <v>45</v>
      </c>
      <c r="N81" s="8">
        <v>41</v>
      </c>
      <c r="O81" s="8" t="s">
        <v>46</v>
      </c>
      <c r="P81" s="8" t="str">
        <f t="shared" si="2"/>
        <v>Valid</v>
      </c>
      <c r="Q81" s="8" t="str">
        <f t="shared" si="3"/>
        <v>Valid</v>
      </c>
    </row>
    <row r="82" spans="1:17" ht="13.8">
      <c r="A82" s="8" t="s">
        <v>126</v>
      </c>
      <c r="B82" s="8" t="s">
        <v>51</v>
      </c>
      <c r="C82" s="8" t="s">
        <v>17</v>
      </c>
      <c r="D82" s="7">
        <v>45740</v>
      </c>
      <c r="E82" s="7">
        <v>45924</v>
      </c>
      <c r="F82" s="8">
        <v>2568</v>
      </c>
      <c r="G82" s="8" t="s">
        <v>48</v>
      </c>
      <c r="H82" s="8" t="s">
        <v>19</v>
      </c>
      <c r="I82" s="7">
        <v>45737</v>
      </c>
      <c r="J82" s="8" t="s">
        <v>20</v>
      </c>
      <c r="K82" s="8" t="s">
        <v>21</v>
      </c>
      <c r="L82" s="8" t="s">
        <v>548</v>
      </c>
      <c r="M82" s="8" t="s">
        <v>32</v>
      </c>
      <c r="N82" s="8">
        <v>35</v>
      </c>
      <c r="O82" s="8" t="s">
        <v>24</v>
      </c>
      <c r="P82" s="8" t="str">
        <f t="shared" si="2"/>
        <v>Valid</v>
      </c>
      <c r="Q82" s="8" t="str">
        <f t="shared" si="3"/>
        <v>Not valid</v>
      </c>
    </row>
    <row r="83" spans="1:17" ht="13.8">
      <c r="A83" s="8" t="s">
        <v>127</v>
      </c>
      <c r="B83" s="8" t="s">
        <v>26</v>
      </c>
      <c r="C83" s="8" t="s">
        <v>27</v>
      </c>
      <c r="D83" s="9">
        <v>45940</v>
      </c>
      <c r="E83" s="7">
        <v>45827</v>
      </c>
      <c r="F83" s="8">
        <v>0</v>
      </c>
      <c r="G83" s="8" t="s">
        <v>48</v>
      </c>
      <c r="H83" s="8" t="s">
        <v>29</v>
      </c>
      <c r="I83" s="8" t="s">
        <v>546</v>
      </c>
      <c r="J83" s="8" t="s">
        <v>30</v>
      </c>
      <c r="K83" s="8" t="s">
        <v>31</v>
      </c>
      <c r="L83" s="8" t="s">
        <v>22</v>
      </c>
      <c r="M83" s="8" t="s">
        <v>23</v>
      </c>
      <c r="N83" s="8">
        <v>79</v>
      </c>
      <c r="O83" s="8" t="s">
        <v>46</v>
      </c>
      <c r="P83" s="8" t="str">
        <f t="shared" si="2"/>
        <v>not valid</v>
      </c>
      <c r="Q83" s="8" t="str">
        <f t="shared" si="3"/>
        <v>Valid</v>
      </c>
    </row>
    <row r="84" spans="1:17" ht="13.8">
      <c r="A84" s="8" t="s">
        <v>128</v>
      </c>
      <c r="B84" s="8" t="s">
        <v>16</v>
      </c>
      <c r="C84" s="8" t="s">
        <v>39</v>
      </c>
      <c r="D84" s="7">
        <v>45733</v>
      </c>
      <c r="E84" s="7">
        <v>45733</v>
      </c>
      <c r="F84" s="8">
        <v>0</v>
      </c>
      <c r="G84" s="8" t="s">
        <v>48</v>
      </c>
      <c r="H84" s="8" t="s">
        <v>19</v>
      </c>
      <c r="I84" s="8" t="s">
        <v>546</v>
      </c>
      <c r="J84" s="8" t="s">
        <v>30</v>
      </c>
      <c r="K84" s="8" t="s">
        <v>31</v>
      </c>
      <c r="L84" s="8" t="s">
        <v>22</v>
      </c>
      <c r="M84" s="8" t="s">
        <v>23</v>
      </c>
      <c r="N84" s="8">
        <v>56</v>
      </c>
      <c r="O84" s="8" t="s">
        <v>24</v>
      </c>
      <c r="P84" s="8" t="str">
        <f t="shared" si="2"/>
        <v>Valid</v>
      </c>
      <c r="Q84" s="8" t="str">
        <f t="shared" si="3"/>
        <v>Valid</v>
      </c>
    </row>
    <row r="85" spans="1:17" ht="13.8">
      <c r="A85" s="8" t="s">
        <v>129</v>
      </c>
      <c r="B85" s="8" t="s">
        <v>26</v>
      </c>
      <c r="C85" s="8" t="s">
        <v>17</v>
      </c>
      <c r="D85" s="7">
        <v>45808</v>
      </c>
      <c r="E85" s="7">
        <v>45772</v>
      </c>
      <c r="F85" s="8">
        <v>2447</v>
      </c>
      <c r="G85" s="8" t="s">
        <v>48</v>
      </c>
      <c r="H85" s="8" t="s">
        <v>49</v>
      </c>
      <c r="I85" s="7">
        <v>45755</v>
      </c>
      <c r="J85" s="8" t="s">
        <v>20</v>
      </c>
      <c r="K85" s="8" t="s">
        <v>21</v>
      </c>
      <c r="L85" s="8" t="s">
        <v>22</v>
      </c>
      <c r="M85" s="8" t="s">
        <v>23</v>
      </c>
      <c r="N85" s="8">
        <v>55</v>
      </c>
      <c r="O85" s="8" t="s">
        <v>52</v>
      </c>
      <c r="P85" s="8" t="str">
        <f t="shared" si="2"/>
        <v>not valid</v>
      </c>
      <c r="Q85" s="8" t="str">
        <f t="shared" si="3"/>
        <v>Not valid</v>
      </c>
    </row>
    <row r="86" spans="1:17" ht="13.8">
      <c r="A86" s="8" t="s">
        <v>130</v>
      </c>
      <c r="B86" s="8" t="s">
        <v>38</v>
      </c>
      <c r="C86" s="8" t="s">
        <v>17</v>
      </c>
      <c r="D86" s="7">
        <v>45834</v>
      </c>
      <c r="E86" s="7">
        <v>45700</v>
      </c>
      <c r="F86" s="8">
        <v>2304</v>
      </c>
      <c r="G86" s="8" t="s">
        <v>28</v>
      </c>
      <c r="H86" s="8" t="s">
        <v>35</v>
      </c>
      <c r="I86" s="7">
        <v>45740</v>
      </c>
      <c r="J86" s="8" t="s">
        <v>30</v>
      </c>
      <c r="K86" s="8" t="s">
        <v>21</v>
      </c>
      <c r="L86" s="8" t="s">
        <v>547</v>
      </c>
      <c r="M86" s="8" t="s">
        <v>45</v>
      </c>
      <c r="N86" s="8">
        <v>52</v>
      </c>
      <c r="O86" s="8" t="s">
        <v>52</v>
      </c>
      <c r="P86" s="8" t="str">
        <f t="shared" si="2"/>
        <v>not valid</v>
      </c>
      <c r="Q86" s="8" t="str">
        <f t="shared" si="3"/>
        <v>Not valid</v>
      </c>
    </row>
    <row r="87" spans="1:17" ht="13.8">
      <c r="A87" s="8" t="s">
        <v>131</v>
      </c>
      <c r="B87" s="8" t="s">
        <v>51</v>
      </c>
      <c r="C87" s="8" t="s">
        <v>27</v>
      </c>
      <c r="D87" s="7">
        <v>45873</v>
      </c>
      <c r="E87" s="7">
        <v>45830</v>
      </c>
      <c r="F87" s="8">
        <v>0</v>
      </c>
      <c r="G87" s="8" t="s">
        <v>18</v>
      </c>
      <c r="H87" s="8" t="s">
        <v>29</v>
      </c>
      <c r="I87" s="8" t="s">
        <v>546</v>
      </c>
      <c r="J87" s="8" t="s">
        <v>20</v>
      </c>
      <c r="K87" s="8" t="s">
        <v>21</v>
      </c>
      <c r="L87" s="8" t="s">
        <v>27</v>
      </c>
      <c r="M87" s="8" t="s">
        <v>32</v>
      </c>
      <c r="N87" s="8">
        <v>39</v>
      </c>
      <c r="O87" s="8" t="s">
        <v>46</v>
      </c>
      <c r="P87" s="8" t="str">
        <f t="shared" si="2"/>
        <v>not valid</v>
      </c>
      <c r="Q87" s="8" t="str">
        <f t="shared" si="3"/>
        <v>Valid</v>
      </c>
    </row>
    <row r="88" spans="1:17" ht="13.8">
      <c r="A88" s="8" t="s">
        <v>132</v>
      </c>
      <c r="B88" s="8" t="s">
        <v>16</v>
      </c>
      <c r="C88" s="8" t="s">
        <v>27</v>
      </c>
      <c r="D88" s="7">
        <v>45901</v>
      </c>
      <c r="E88" s="7">
        <v>45834</v>
      </c>
      <c r="F88" s="8">
        <v>0</v>
      </c>
      <c r="G88" s="8" t="s">
        <v>48</v>
      </c>
      <c r="H88" s="8" t="s">
        <v>29</v>
      </c>
      <c r="I88" s="8" t="s">
        <v>546</v>
      </c>
      <c r="J88" s="8" t="s">
        <v>20</v>
      </c>
      <c r="K88" s="8" t="s">
        <v>21</v>
      </c>
      <c r="L88" s="8" t="s">
        <v>22</v>
      </c>
      <c r="M88" s="8" t="s">
        <v>36</v>
      </c>
      <c r="N88" s="8">
        <v>73</v>
      </c>
      <c r="O88" s="8" t="s">
        <v>46</v>
      </c>
      <c r="P88" s="8" t="str">
        <f t="shared" si="2"/>
        <v>not valid</v>
      </c>
      <c r="Q88" s="8" t="str">
        <f t="shared" si="3"/>
        <v>Valid</v>
      </c>
    </row>
    <row r="89" spans="1:17" ht="13.8">
      <c r="A89" s="8" t="s">
        <v>133</v>
      </c>
      <c r="B89" s="8" t="s">
        <v>16</v>
      </c>
      <c r="C89" s="8" t="s">
        <v>17</v>
      </c>
      <c r="D89" s="7">
        <v>45676</v>
      </c>
      <c r="E89" s="7">
        <v>45679</v>
      </c>
      <c r="F89" s="8">
        <v>4173</v>
      </c>
      <c r="G89" s="8" t="s">
        <v>28</v>
      </c>
      <c r="H89" s="8" t="s">
        <v>49</v>
      </c>
      <c r="I89" s="7">
        <v>45842</v>
      </c>
      <c r="J89" s="8" t="s">
        <v>20</v>
      </c>
      <c r="K89" s="8" t="s">
        <v>21</v>
      </c>
      <c r="L89" s="8" t="s">
        <v>27</v>
      </c>
      <c r="M89" s="8" t="s">
        <v>45</v>
      </c>
      <c r="N89" s="8">
        <v>38</v>
      </c>
      <c r="O89" s="8" t="s">
        <v>24</v>
      </c>
      <c r="P89" s="8" t="str">
        <f t="shared" si="2"/>
        <v>Valid</v>
      </c>
      <c r="Q89" s="8" t="str">
        <f t="shared" si="3"/>
        <v>Valid</v>
      </c>
    </row>
    <row r="90" spans="1:17" ht="13.8">
      <c r="A90" s="8" t="s">
        <v>134</v>
      </c>
      <c r="B90" s="8" t="s">
        <v>16</v>
      </c>
      <c r="C90" s="8" t="s">
        <v>39</v>
      </c>
      <c r="D90" s="7">
        <v>45890</v>
      </c>
      <c r="E90" s="7">
        <v>45890</v>
      </c>
      <c r="F90" s="8">
        <v>0</v>
      </c>
      <c r="G90" s="8" t="s">
        <v>18</v>
      </c>
      <c r="H90" s="8" t="s">
        <v>49</v>
      </c>
      <c r="I90" s="8" t="s">
        <v>546</v>
      </c>
      <c r="J90" s="8" t="s">
        <v>30</v>
      </c>
      <c r="K90" s="8" t="s">
        <v>40</v>
      </c>
      <c r="L90" s="8" t="s">
        <v>27</v>
      </c>
      <c r="M90" s="8" t="s">
        <v>23</v>
      </c>
      <c r="N90" s="8">
        <v>37</v>
      </c>
      <c r="O90" s="8" t="s">
        <v>46</v>
      </c>
      <c r="P90" s="8" t="str">
        <f t="shared" si="2"/>
        <v>Valid</v>
      </c>
      <c r="Q90" s="8" t="str">
        <f t="shared" si="3"/>
        <v>Valid</v>
      </c>
    </row>
    <row r="91" spans="1:17" ht="13.8">
      <c r="A91" s="8" t="s">
        <v>135</v>
      </c>
      <c r="B91" s="8" t="s">
        <v>16</v>
      </c>
      <c r="C91" s="8" t="s">
        <v>17</v>
      </c>
      <c r="D91" s="7">
        <v>45846</v>
      </c>
      <c r="E91" s="7">
        <v>45701</v>
      </c>
      <c r="F91" s="8">
        <v>2612</v>
      </c>
      <c r="G91" s="8" t="s">
        <v>48</v>
      </c>
      <c r="H91" s="8" t="s">
        <v>29</v>
      </c>
      <c r="I91" s="7">
        <v>45705</v>
      </c>
      <c r="J91" s="8" t="s">
        <v>30</v>
      </c>
      <c r="K91" s="8" t="s">
        <v>21</v>
      </c>
      <c r="L91" s="8" t="s">
        <v>22</v>
      </c>
      <c r="M91" s="8" t="s">
        <v>32</v>
      </c>
      <c r="N91" s="8">
        <v>50</v>
      </c>
      <c r="O91" s="8" t="s">
        <v>46</v>
      </c>
      <c r="P91" s="8" t="str">
        <f t="shared" si="2"/>
        <v>not valid</v>
      </c>
      <c r="Q91" s="8" t="str">
        <f t="shared" si="3"/>
        <v>Not valid</v>
      </c>
    </row>
    <row r="92" spans="1:17" ht="13.8">
      <c r="A92" s="8" t="s">
        <v>136</v>
      </c>
      <c r="B92" s="8" t="s">
        <v>38</v>
      </c>
      <c r="C92" s="8" t="s">
        <v>27</v>
      </c>
      <c r="D92" s="7">
        <v>45718</v>
      </c>
      <c r="E92" s="7">
        <v>45686</v>
      </c>
      <c r="F92" s="8">
        <v>0</v>
      </c>
      <c r="G92" s="8" t="s">
        <v>48</v>
      </c>
      <c r="H92" s="8" t="s">
        <v>35</v>
      </c>
      <c r="I92" s="8" t="s">
        <v>546</v>
      </c>
      <c r="J92" s="8" t="s">
        <v>30</v>
      </c>
      <c r="K92" s="8" t="s">
        <v>40</v>
      </c>
      <c r="L92" s="8" t="s">
        <v>22</v>
      </c>
      <c r="M92" s="8" t="s">
        <v>23</v>
      </c>
      <c r="N92" s="8">
        <v>38</v>
      </c>
      <c r="O92" s="8" t="s">
        <v>24</v>
      </c>
      <c r="P92" s="8" t="str">
        <f t="shared" si="2"/>
        <v>not valid</v>
      </c>
      <c r="Q92" s="8" t="str">
        <f t="shared" si="3"/>
        <v>Valid</v>
      </c>
    </row>
    <row r="93" spans="1:17" ht="13.8">
      <c r="A93" s="8" t="s">
        <v>137</v>
      </c>
      <c r="B93" s="8" t="s">
        <v>51</v>
      </c>
      <c r="C93" s="8" t="s">
        <v>27</v>
      </c>
      <c r="D93" s="7">
        <v>45938</v>
      </c>
      <c r="E93" s="7">
        <v>45883</v>
      </c>
      <c r="F93" s="8">
        <v>0</v>
      </c>
      <c r="G93" s="8" t="s">
        <v>34</v>
      </c>
      <c r="H93" s="8" t="s">
        <v>49</v>
      </c>
      <c r="I93" s="8" t="s">
        <v>546</v>
      </c>
      <c r="J93" s="8" t="s">
        <v>30</v>
      </c>
      <c r="K93" s="8" t="s">
        <v>31</v>
      </c>
      <c r="L93" s="8" t="s">
        <v>27</v>
      </c>
      <c r="M93" s="8" t="s">
        <v>32</v>
      </c>
      <c r="N93" s="8">
        <v>63</v>
      </c>
      <c r="O93" s="8" t="s">
        <v>52</v>
      </c>
      <c r="P93" s="8" t="str">
        <f t="shared" si="2"/>
        <v>not valid</v>
      </c>
      <c r="Q93" s="8" t="str">
        <f t="shared" si="3"/>
        <v>Valid</v>
      </c>
    </row>
    <row r="94" spans="1:17" ht="13.8">
      <c r="A94" s="8" t="s">
        <v>138</v>
      </c>
      <c r="B94" s="8" t="s">
        <v>38</v>
      </c>
      <c r="C94" s="8" t="s">
        <v>27</v>
      </c>
      <c r="D94" s="7">
        <v>45730</v>
      </c>
      <c r="E94" s="7">
        <v>45864</v>
      </c>
      <c r="F94" s="8">
        <v>0</v>
      </c>
      <c r="G94" s="8" t="s">
        <v>34</v>
      </c>
      <c r="H94" s="8" t="s">
        <v>29</v>
      </c>
      <c r="I94" s="8" t="s">
        <v>546</v>
      </c>
      <c r="J94" s="8" t="s">
        <v>20</v>
      </c>
      <c r="K94" s="8" t="s">
        <v>31</v>
      </c>
      <c r="L94" s="8" t="s">
        <v>41</v>
      </c>
      <c r="M94" s="8" t="s">
        <v>23</v>
      </c>
      <c r="N94" s="8">
        <v>79</v>
      </c>
      <c r="O94" s="8" t="s">
        <v>52</v>
      </c>
      <c r="P94" s="8" t="str">
        <f t="shared" si="2"/>
        <v>Valid</v>
      </c>
      <c r="Q94" s="8" t="str">
        <f t="shared" si="3"/>
        <v>Valid</v>
      </c>
    </row>
    <row r="95" spans="1:17" ht="13.8">
      <c r="A95" s="8" t="s">
        <v>139</v>
      </c>
      <c r="B95" s="8" t="s">
        <v>38</v>
      </c>
      <c r="C95" s="8" t="s">
        <v>17</v>
      </c>
      <c r="D95" s="7">
        <v>45718</v>
      </c>
      <c r="E95" s="7">
        <v>45884</v>
      </c>
      <c r="F95" s="8">
        <v>2572</v>
      </c>
      <c r="G95" s="8" t="s">
        <v>34</v>
      </c>
      <c r="H95" s="8" t="s">
        <v>29</v>
      </c>
      <c r="I95" s="7">
        <v>45900</v>
      </c>
      <c r="J95" s="8" t="s">
        <v>20</v>
      </c>
      <c r="K95" s="8" t="s">
        <v>43</v>
      </c>
      <c r="L95" s="8" t="s">
        <v>22</v>
      </c>
      <c r="M95" s="8" t="s">
        <v>32</v>
      </c>
      <c r="N95" s="8">
        <v>34</v>
      </c>
      <c r="O95" s="8" t="s">
        <v>52</v>
      </c>
      <c r="P95" s="8" t="str">
        <f t="shared" si="2"/>
        <v>Valid</v>
      </c>
      <c r="Q95" s="8" t="str">
        <f t="shared" si="3"/>
        <v>Valid</v>
      </c>
    </row>
    <row r="96" spans="1:17" ht="13.8">
      <c r="A96" s="8" t="s">
        <v>140</v>
      </c>
      <c r="B96" s="8" t="s">
        <v>26</v>
      </c>
      <c r="C96" s="8" t="s">
        <v>27</v>
      </c>
      <c r="D96" s="7">
        <v>45787</v>
      </c>
      <c r="E96" s="7">
        <v>45661</v>
      </c>
      <c r="F96" s="8">
        <v>0</v>
      </c>
      <c r="G96" s="8" t="s">
        <v>18</v>
      </c>
      <c r="H96" s="8" t="s">
        <v>35</v>
      </c>
      <c r="I96" s="8" t="s">
        <v>546</v>
      </c>
      <c r="J96" s="8" t="s">
        <v>20</v>
      </c>
      <c r="K96" s="8" t="s">
        <v>31</v>
      </c>
      <c r="L96" s="8" t="s">
        <v>22</v>
      </c>
      <c r="M96" s="8" t="s">
        <v>45</v>
      </c>
      <c r="N96" s="8">
        <v>59</v>
      </c>
      <c r="O96" s="8" t="s">
        <v>46</v>
      </c>
      <c r="P96" s="8" t="str">
        <f t="shared" si="2"/>
        <v>not valid</v>
      </c>
      <c r="Q96" s="8" t="str">
        <f t="shared" si="3"/>
        <v>Valid</v>
      </c>
    </row>
    <row r="97" spans="1:17" ht="13.8">
      <c r="A97" s="8" t="s">
        <v>141</v>
      </c>
      <c r="B97" s="8" t="s">
        <v>16</v>
      </c>
      <c r="C97" s="8" t="s">
        <v>17</v>
      </c>
      <c r="D97" s="7">
        <v>45825</v>
      </c>
      <c r="E97" s="7">
        <v>45803</v>
      </c>
      <c r="F97" s="8">
        <v>3396</v>
      </c>
      <c r="G97" s="8" t="s">
        <v>34</v>
      </c>
      <c r="H97" s="8" t="s">
        <v>49</v>
      </c>
      <c r="I97" s="7">
        <v>45834</v>
      </c>
      <c r="J97" s="8" t="s">
        <v>30</v>
      </c>
      <c r="K97" s="8" t="s">
        <v>31</v>
      </c>
      <c r="L97" s="8" t="s">
        <v>548</v>
      </c>
      <c r="M97" s="8" t="s">
        <v>32</v>
      </c>
      <c r="N97" s="8">
        <v>89</v>
      </c>
      <c r="O97" s="8" t="s">
        <v>46</v>
      </c>
      <c r="P97" s="8" t="str">
        <f t="shared" si="2"/>
        <v>not valid</v>
      </c>
      <c r="Q97" s="8" t="str">
        <f t="shared" si="3"/>
        <v>Valid</v>
      </c>
    </row>
    <row r="98" spans="1:17" ht="13.8">
      <c r="A98" s="8" t="s">
        <v>142</v>
      </c>
      <c r="B98" s="8" t="s">
        <v>38</v>
      </c>
      <c r="C98" s="8" t="s">
        <v>17</v>
      </c>
      <c r="D98" s="7">
        <v>45705</v>
      </c>
      <c r="E98" s="7">
        <v>45843</v>
      </c>
      <c r="F98" s="8">
        <v>3036</v>
      </c>
      <c r="G98" s="8" t="s">
        <v>18</v>
      </c>
      <c r="H98" s="8" t="s">
        <v>35</v>
      </c>
      <c r="I98" s="7">
        <v>45757</v>
      </c>
      <c r="J98" s="8" t="s">
        <v>20</v>
      </c>
      <c r="K98" s="8" t="s">
        <v>40</v>
      </c>
      <c r="L98" s="8" t="s">
        <v>547</v>
      </c>
      <c r="M98" s="8" t="s">
        <v>32</v>
      </c>
      <c r="N98" s="8">
        <v>59</v>
      </c>
      <c r="O98" s="8" t="s">
        <v>24</v>
      </c>
      <c r="P98" s="8" t="str">
        <f t="shared" si="2"/>
        <v>Valid</v>
      </c>
      <c r="Q98" s="8" t="str">
        <f t="shared" si="3"/>
        <v>Valid</v>
      </c>
    </row>
    <row r="99" spans="1:17" ht="13.8">
      <c r="A99" s="8" t="s">
        <v>143</v>
      </c>
      <c r="B99" s="8" t="s">
        <v>26</v>
      </c>
      <c r="C99" s="8" t="s">
        <v>27</v>
      </c>
      <c r="D99" s="7">
        <v>45857</v>
      </c>
      <c r="E99" s="7">
        <v>45885</v>
      </c>
      <c r="F99" s="8">
        <v>0</v>
      </c>
      <c r="G99" s="8" t="s">
        <v>34</v>
      </c>
      <c r="H99" s="8" t="s">
        <v>35</v>
      </c>
      <c r="I99" s="8" t="s">
        <v>546</v>
      </c>
      <c r="J99" s="8" t="s">
        <v>30</v>
      </c>
      <c r="K99" s="8" t="s">
        <v>43</v>
      </c>
      <c r="L99" s="8" t="s">
        <v>44</v>
      </c>
      <c r="M99" s="8" t="s">
        <v>32</v>
      </c>
      <c r="N99" s="8">
        <v>68</v>
      </c>
      <c r="O99" s="8" t="s">
        <v>52</v>
      </c>
      <c r="P99" s="8" t="str">
        <f t="shared" si="2"/>
        <v>Valid</v>
      </c>
      <c r="Q99" s="8" t="str">
        <f t="shared" si="3"/>
        <v>Valid</v>
      </c>
    </row>
    <row r="100" spans="1:17" ht="13.8">
      <c r="A100" s="8" t="s">
        <v>144</v>
      </c>
      <c r="B100" s="8" t="s">
        <v>16</v>
      </c>
      <c r="C100" s="8" t="s">
        <v>39</v>
      </c>
      <c r="D100" s="7">
        <v>45926</v>
      </c>
      <c r="E100" s="7">
        <v>45926</v>
      </c>
      <c r="F100" s="8">
        <v>0</v>
      </c>
      <c r="G100" s="8" t="s">
        <v>28</v>
      </c>
      <c r="H100" s="8" t="s">
        <v>49</v>
      </c>
      <c r="I100" s="8" t="s">
        <v>546</v>
      </c>
      <c r="J100" s="8" t="s">
        <v>30</v>
      </c>
      <c r="K100" s="8" t="s">
        <v>40</v>
      </c>
      <c r="L100" s="8" t="s">
        <v>44</v>
      </c>
      <c r="M100" s="8" t="s">
        <v>23</v>
      </c>
      <c r="N100" s="8">
        <v>51</v>
      </c>
      <c r="O100" s="8" t="s">
        <v>46</v>
      </c>
      <c r="P100" s="8" t="str">
        <f t="shared" si="2"/>
        <v>Valid</v>
      </c>
      <c r="Q100" s="8" t="str">
        <f t="shared" si="3"/>
        <v>Valid</v>
      </c>
    </row>
    <row r="101" spans="1:17" ht="13.8">
      <c r="A101" s="8" t="s">
        <v>145</v>
      </c>
      <c r="B101" s="8" t="s">
        <v>38</v>
      </c>
      <c r="C101" s="8" t="s">
        <v>39</v>
      </c>
      <c r="D101" s="7">
        <v>45717</v>
      </c>
      <c r="E101" s="7">
        <v>45717</v>
      </c>
      <c r="F101" s="8">
        <v>0</v>
      </c>
      <c r="G101" s="8" t="s">
        <v>48</v>
      </c>
      <c r="H101" s="8" t="s">
        <v>49</v>
      </c>
      <c r="I101" s="8" t="s">
        <v>546</v>
      </c>
      <c r="J101" s="8" t="s">
        <v>30</v>
      </c>
      <c r="K101" s="8" t="s">
        <v>21</v>
      </c>
      <c r="L101" s="8" t="s">
        <v>27</v>
      </c>
      <c r="M101" s="8" t="s">
        <v>36</v>
      </c>
      <c r="N101" s="8">
        <v>74</v>
      </c>
      <c r="O101" s="8" t="s">
        <v>46</v>
      </c>
      <c r="P101" s="8" t="str">
        <f t="shared" si="2"/>
        <v>Valid</v>
      </c>
      <c r="Q101" s="8" t="str">
        <f t="shared" si="3"/>
        <v>Valid</v>
      </c>
    </row>
    <row r="102" spans="1:17" ht="13.8">
      <c r="A102" s="8" t="s">
        <v>146</v>
      </c>
      <c r="B102" s="8" t="s">
        <v>38</v>
      </c>
      <c r="C102" s="8" t="s">
        <v>17</v>
      </c>
      <c r="D102" s="7">
        <v>45814</v>
      </c>
      <c r="E102" s="7">
        <v>45703</v>
      </c>
      <c r="F102" s="8">
        <v>2411</v>
      </c>
      <c r="G102" s="8" t="s">
        <v>48</v>
      </c>
      <c r="H102" s="8" t="s">
        <v>29</v>
      </c>
      <c r="I102" s="7">
        <v>45687</v>
      </c>
      <c r="J102" s="8" t="s">
        <v>30</v>
      </c>
      <c r="K102" s="8" t="s">
        <v>40</v>
      </c>
      <c r="L102" s="8" t="s">
        <v>547</v>
      </c>
      <c r="M102" s="8" t="s">
        <v>45</v>
      </c>
      <c r="N102" s="8">
        <v>33</v>
      </c>
      <c r="O102" s="8" t="s">
        <v>24</v>
      </c>
      <c r="P102" s="8" t="str">
        <f t="shared" si="2"/>
        <v>not valid</v>
      </c>
      <c r="Q102" s="8" t="str">
        <f t="shared" si="3"/>
        <v>Not valid</v>
      </c>
    </row>
    <row r="103" spans="1:17" ht="13.8">
      <c r="A103" s="8" t="s">
        <v>147</v>
      </c>
      <c r="B103" s="8" t="s">
        <v>26</v>
      </c>
      <c r="C103" s="8" t="s">
        <v>27</v>
      </c>
      <c r="D103" s="7">
        <v>45665</v>
      </c>
      <c r="E103" s="7">
        <v>45877</v>
      </c>
      <c r="F103" s="8">
        <v>0</v>
      </c>
      <c r="G103" s="8" t="s">
        <v>28</v>
      </c>
      <c r="H103" s="8" t="s">
        <v>49</v>
      </c>
      <c r="I103" s="8" t="s">
        <v>546</v>
      </c>
      <c r="J103" s="8" t="s">
        <v>30</v>
      </c>
      <c r="K103" s="8" t="s">
        <v>43</v>
      </c>
      <c r="L103" s="8" t="s">
        <v>27</v>
      </c>
      <c r="M103" s="8" t="s">
        <v>45</v>
      </c>
      <c r="N103" s="8">
        <v>65</v>
      </c>
      <c r="O103" s="8" t="s">
        <v>52</v>
      </c>
      <c r="P103" s="8" t="str">
        <f t="shared" si="2"/>
        <v>Valid</v>
      </c>
      <c r="Q103" s="8" t="str">
        <f t="shared" si="3"/>
        <v>Valid</v>
      </c>
    </row>
    <row r="104" spans="1:17" ht="13.8">
      <c r="A104" s="8" t="s">
        <v>148</v>
      </c>
      <c r="B104" s="8" t="s">
        <v>38</v>
      </c>
      <c r="C104" s="8" t="s">
        <v>39</v>
      </c>
      <c r="D104" s="7">
        <v>45810</v>
      </c>
      <c r="E104" s="7">
        <v>45810</v>
      </c>
      <c r="F104" s="8">
        <v>0</v>
      </c>
      <c r="G104" s="8" t="s">
        <v>48</v>
      </c>
      <c r="H104" s="8" t="s">
        <v>49</v>
      </c>
      <c r="I104" s="8" t="s">
        <v>546</v>
      </c>
      <c r="J104" s="8" t="s">
        <v>30</v>
      </c>
      <c r="K104" s="8" t="s">
        <v>43</v>
      </c>
      <c r="L104" s="8" t="s">
        <v>44</v>
      </c>
      <c r="M104" s="8" t="s">
        <v>45</v>
      </c>
      <c r="N104" s="8">
        <v>54</v>
      </c>
      <c r="O104" s="8" t="s">
        <v>46</v>
      </c>
      <c r="P104" s="8" t="str">
        <f t="shared" si="2"/>
        <v>Valid</v>
      </c>
      <c r="Q104" s="8" t="str">
        <f t="shared" si="3"/>
        <v>Valid</v>
      </c>
    </row>
    <row r="105" spans="1:17" ht="13.8">
      <c r="A105" s="8" t="s">
        <v>149</v>
      </c>
      <c r="B105" s="8" t="s">
        <v>16</v>
      </c>
      <c r="C105" s="8" t="s">
        <v>27</v>
      </c>
      <c r="D105" s="7">
        <v>45838</v>
      </c>
      <c r="E105" s="7">
        <v>45747</v>
      </c>
      <c r="F105" s="8">
        <v>0</v>
      </c>
      <c r="G105" s="8" t="s">
        <v>28</v>
      </c>
      <c r="H105" s="8" t="s">
        <v>35</v>
      </c>
      <c r="I105" s="8" t="s">
        <v>546</v>
      </c>
      <c r="J105" s="8" t="s">
        <v>20</v>
      </c>
      <c r="K105" s="8" t="s">
        <v>21</v>
      </c>
      <c r="L105" s="8" t="s">
        <v>27</v>
      </c>
      <c r="M105" s="8" t="s">
        <v>23</v>
      </c>
      <c r="N105" s="8">
        <v>41</v>
      </c>
      <c r="O105" s="8" t="s">
        <v>24</v>
      </c>
      <c r="P105" s="8" t="str">
        <f t="shared" si="2"/>
        <v>not valid</v>
      </c>
      <c r="Q105" s="8" t="str">
        <f t="shared" si="3"/>
        <v>Valid</v>
      </c>
    </row>
    <row r="106" spans="1:17" ht="13.8">
      <c r="A106" s="8" t="s">
        <v>150</v>
      </c>
      <c r="B106" s="8" t="s">
        <v>38</v>
      </c>
      <c r="C106" s="8" t="s">
        <v>39</v>
      </c>
      <c r="D106" s="7">
        <v>45916</v>
      </c>
      <c r="E106" s="7">
        <v>45916</v>
      </c>
      <c r="F106" s="8">
        <v>0</v>
      </c>
      <c r="G106" s="8" t="s">
        <v>34</v>
      </c>
      <c r="H106" s="8" t="s">
        <v>19</v>
      </c>
      <c r="I106" s="8" t="s">
        <v>546</v>
      </c>
      <c r="J106" s="8" t="s">
        <v>30</v>
      </c>
      <c r="K106" s="8" t="s">
        <v>21</v>
      </c>
      <c r="L106" s="8" t="s">
        <v>27</v>
      </c>
      <c r="M106" s="8" t="s">
        <v>23</v>
      </c>
      <c r="N106" s="8">
        <v>89</v>
      </c>
      <c r="O106" s="8" t="s">
        <v>52</v>
      </c>
      <c r="P106" s="8" t="str">
        <f t="shared" si="2"/>
        <v>Valid</v>
      </c>
      <c r="Q106" s="8" t="str">
        <f t="shared" si="3"/>
        <v>Valid</v>
      </c>
    </row>
    <row r="107" spans="1:17" ht="13.8">
      <c r="A107" s="8" t="s">
        <v>151</v>
      </c>
      <c r="B107" s="8" t="s">
        <v>26</v>
      </c>
      <c r="C107" s="8" t="s">
        <v>39</v>
      </c>
      <c r="D107" s="7">
        <v>45789</v>
      </c>
      <c r="E107" s="7">
        <v>45789</v>
      </c>
      <c r="F107" s="8">
        <v>0</v>
      </c>
      <c r="G107" s="8" t="s">
        <v>34</v>
      </c>
      <c r="H107" s="8" t="s">
        <v>19</v>
      </c>
      <c r="I107" s="8" t="s">
        <v>546</v>
      </c>
      <c r="J107" s="8" t="s">
        <v>20</v>
      </c>
      <c r="K107" s="8" t="s">
        <v>43</v>
      </c>
      <c r="L107" s="8" t="s">
        <v>44</v>
      </c>
      <c r="M107" s="8" t="s">
        <v>23</v>
      </c>
      <c r="N107" s="8">
        <v>45</v>
      </c>
      <c r="O107" s="8" t="s">
        <v>24</v>
      </c>
      <c r="P107" s="8" t="str">
        <f t="shared" si="2"/>
        <v>Valid</v>
      </c>
      <c r="Q107" s="8" t="str">
        <f t="shared" si="3"/>
        <v>Valid</v>
      </c>
    </row>
    <row r="108" spans="1:17" ht="13.8">
      <c r="A108" s="8" t="s">
        <v>152</v>
      </c>
      <c r="B108" s="8" t="s">
        <v>26</v>
      </c>
      <c r="C108" s="8" t="s">
        <v>17</v>
      </c>
      <c r="D108" s="7">
        <v>45864</v>
      </c>
      <c r="E108" s="7">
        <v>45864</v>
      </c>
      <c r="F108" s="8">
        <v>2102</v>
      </c>
      <c r="G108" s="8" t="s">
        <v>18</v>
      </c>
      <c r="H108" s="8" t="s">
        <v>35</v>
      </c>
      <c r="I108" s="7">
        <v>45920</v>
      </c>
      <c r="J108" s="8" t="s">
        <v>30</v>
      </c>
      <c r="K108" s="8" t="s">
        <v>31</v>
      </c>
      <c r="L108" s="8" t="s">
        <v>547</v>
      </c>
      <c r="M108" s="8" t="s">
        <v>45</v>
      </c>
      <c r="N108" s="8">
        <v>65</v>
      </c>
      <c r="O108" s="8" t="s">
        <v>52</v>
      </c>
      <c r="P108" s="8" t="str">
        <f t="shared" si="2"/>
        <v>Valid</v>
      </c>
      <c r="Q108" s="8" t="str">
        <f t="shared" si="3"/>
        <v>Valid</v>
      </c>
    </row>
    <row r="109" spans="1:17" ht="13.8">
      <c r="A109" s="8" t="s">
        <v>153</v>
      </c>
      <c r="B109" s="8" t="s">
        <v>26</v>
      </c>
      <c r="C109" s="8" t="s">
        <v>27</v>
      </c>
      <c r="D109" s="7">
        <v>45794</v>
      </c>
      <c r="E109" s="7">
        <v>45880</v>
      </c>
      <c r="F109" s="8">
        <v>0</v>
      </c>
      <c r="G109" s="8" t="s">
        <v>48</v>
      </c>
      <c r="H109" s="8" t="s">
        <v>49</v>
      </c>
      <c r="I109" s="8" t="s">
        <v>546</v>
      </c>
      <c r="J109" s="8" t="s">
        <v>20</v>
      </c>
      <c r="K109" s="8" t="s">
        <v>31</v>
      </c>
      <c r="L109" s="8" t="s">
        <v>27</v>
      </c>
      <c r="M109" s="8" t="s">
        <v>32</v>
      </c>
      <c r="N109" s="8">
        <v>31</v>
      </c>
      <c r="O109" s="8" t="s">
        <v>24</v>
      </c>
      <c r="P109" s="8" t="str">
        <f t="shared" si="2"/>
        <v>Valid</v>
      </c>
      <c r="Q109" s="8" t="str">
        <f t="shared" si="3"/>
        <v>Valid</v>
      </c>
    </row>
    <row r="110" spans="1:17" ht="13.8">
      <c r="A110" s="8" t="s">
        <v>154</v>
      </c>
      <c r="B110" s="8" t="s">
        <v>51</v>
      </c>
      <c r="C110" s="8" t="s">
        <v>27</v>
      </c>
      <c r="D110" s="7">
        <v>45814</v>
      </c>
      <c r="E110" s="7">
        <v>45895</v>
      </c>
      <c r="F110" s="8">
        <v>0</v>
      </c>
      <c r="G110" s="8" t="s">
        <v>48</v>
      </c>
      <c r="H110" s="8" t="s">
        <v>49</v>
      </c>
      <c r="I110" s="8" t="s">
        <v>546</v>
      </c>
      <c r="J110" s="8" t="s">
        <v>20</v>
      </c>
      <c r="K110" s="8" t="s">
        <v>31</v>
      </c>
      <c r="L110" s="8" t="s">
        <v>41</v>
      </c>
      <c r="M110" s="8" t="s">
        <v>23</v>
      </c>
      <c r="N110" s="8">
        <v>30</v>
      </c>
      <c r="O110" s="8" t="s">
        <v>24</v>
      </c>
      <c r="P110" s="8" t="str">
        <f t="shared" si="2"/>
        <v>Valid</v>
      </c>
      <c r="Q110" s="8" t="str">
        <f t="shared" si="3"/>
        <v>Valid</v>
      </c>
    </row>
    <row r="111" spans="1:17" ht="13.8">
      <c r="A111" s="8" t="s">
        <v>155</v>
      </c>
      <c r="B111" s="8" t="s">
        <v>51</v>
      </c>
      <c r="C111" s="8" t="s">
        <v>39</v>
      </c>
      <c r="D111" s="7">
        <v>45883</v>
      </c>
      <c r="E111" s="7">
        <v>45883</v>
      </c>
      <c r="F111" s="8">
        <v>0</v>
      </c>
      <c r="G111" s="8" t="s">
        <v>18</v>
      </c>
      <c r="H111" s="8" t="s">
        <v>49</v>
      </c>
      <c r="I111" s="8" t="s">
        <v>546</v>
      </c>
      <c r="J111" s="8" t="s">
        <v>20</v>
      </c>
      <c r="K111" s="8" t="s">
        <v>31</v>
      </c>
      <c r="L111" s="8" t="s">
        <v>22</v>
      </c>
      <c r="M111" s="8" t="s">
        <v>23</v>
      </c>
      <c r="N111" s="8">
        <v>41</v>
      </c>
      <c r="O111" s="8" t="s">
        <v>52</v>
      </c>
      <c r="P111" s="8" t="str">
        <f t="shared" si="2"/>
        <v>Valid</v>
      </c>
      <c r="Q111" s="8" t="str">
        <f t="shared" si="3"/>
        <v>Valid</v>
      </c>
    </row>
    <row r="112" spans="1:17" ht="13.8">
      <c r="A112" s="8" t="s">
        <v>156</v>
      </c>
      <c r="B112" s="8" t="s">
        <v>51</v>
      </c>
      <c r="C112" s="8" t="s">
        <v>39</v>
      </c>
      <c r="D112" s="7">
        <v>45744</v>
      </c>
      <c r="E112" s="7">
        <v>45744</v>
      </c>
      <c r="F112" s="8">
        <v>0</v>
      </c>
      <c r="G112" s="8" t="s">
        <v>34</v>
      </c>
      <c r="H112" s="8" t="s">
        <v>49</v>
      </c>
      <c r="I112" s="8" t="s">
        <v>546</v>
      </c>
      <c r="J112" s="8" t="s">
        <v>30</v>
      </c>
      <c r="K112" s="8" t="s">
        <v>40</v>
      </c>
      <c r="L112" s="8" t="s">
        <v>44</v>
      </c>
      <c r="M112" s="8" t="s">
        <v>23</v>
      </c>
      <c r="N112" s="8">
        <v>75</v>
      </c>
      <c r="O112" s="8" t="s">
        <v>24</v>
      </c>
      <c r="P112" s="8" t="str">
        <f t="shared" si="2"/>
        <v>Valid</v>
      </c>
      <c r="Q112" s="8" t="str">
        <f t="shared" si="3"/>
        <v>Valid</v>
      </c>
    </row>
    <row r="113" spans="1:17" ht="13.8">
      <c r="A113" s="8" t="s">
        <v>157</v>
      </c>
      <c r="B113" s="8" t="s">
        <v>38</v>
      </c>
      <c r="C113" s="8" t="s">
        <v>27</v>
      </c>
      <c r="D113" s="7">
        <v>45665</v>
      </c>
      <c r="E113" s="7">
        <v>45710</v>
      </c>
      <c r="F113" s="8">
        <v>0</v>
      </c>
      <c r="G113" s="8" t="s">
        <v>34</v>
      </c>
      <c r="H113" s="8" t="s">
        <v>19</v>
      </c>
      <c r="I113" s="8" t="s">
        <v>546</v>
      </c>
      <c r="J113" s="8" t="s">
        <v>20</v>
      </c>
      <c r="K113" s="8" t="s">
        <v>21</v>
      </c>
      <c r="L113" s="8" t="s">
        <v>27</v>
      </c>
      <c r="M113" s="8" t="s">
        <v>32</v>
      </c>
      <c r="N113" s="8">
        <v>88</v>
      </c>
      <c r="O113" s="8" t="s">
        <v>52</v>
      </c>
      <c r="P113" s="8" t="str">
        <f t="shared" si="2"/>
        <v>Valid</v>
      </c>
      <c r="Q113" s="8" t="str">
        <f t="shared" si="3"/>
        <v>Valid</v>
      </c>
    </row>
    <row r="114" spans="1:17" ht="13.8">
      <c r="A114" s="8" t="s">
        <v>158</v>
      </c>
      <c r="B114" s="8" t="s">
        <v>16</v>
      </c>
      <c r="C114" s="8" t="s">
        <v>39</v>
      </c>
      <c r="D114" s="7">
        <v>45828</v>
      </c>
      <c r="E114" s="7">
        <v>45828</v>
      </c>
      <c r="F114" s="8">
        <v>0</v>
      </c>
      <c r="G114" s="8" t="s">
        <v>28</v>
      </c>
      <c r="H114" s="8" t="s">
        <v>19</v>
      </c>
      <c r="I114" s="8" t="s">
        <v>546</v>
      </c>
      <c r="J114" s="8" t="s">
        <v>20</v>
      </c>
      <c r="K114" s="8" t="s">
        <v>43</v>
      </c>
      <c r="L114" s="8" t="s">
        <v>22</v>
      </c>
      <c r="M114" s="8" t="s">
        <v>32</v>
      </c>
      <c r="N114" s="8">
        <v>33</v>
      </c>
      <c r="O114" s="8" t="s">
        <v>24</v>
      </c>
      <c r="P114" s="8" t="str">
        <f t="shared" si="2"/>
        <v>Valid</v>
      </c>
      <c r="Q114" s="8" t="str">
        <f t="shared" si="3"/>
        <v>Valid</v>
      </c>
    </row>
    <row r="115" spans="1:17" ht="13.8">
      <c r="A115" s="8" t="s">
        <v>159</v>
      </c>
      <c r="B115" s="8" t="s">
        <v>38</v>
      </c>
      <c r="C115" s="8" t="s">
        <v>39</v>
      </c>
      <c r="D115" s="7">
        <v>45719</v>
      </c>
      <c r="E115" s="7">
        <v>45719</v>
      </c>
      <c r="F115" s="8">
        <v>0</v>
      </c>
      <c r="G115" s="8" t="s">
        <v>34</v>
      </c>
      <c r="H115" s="8" t="s">
        <v>49</v>
      </c>
      <c r="I115" s="8" t="s">
        <v>546</v>
      </c>
      <c r="J115" s="8" t="s">
        <v>30</v>
      </c>
      <c r="K115" s="8" t="s">
        <v>40</v>
      </c>
      <c r="L115" s="8" t="s">
        <v>27</v>
      </c>
      <c r="M115" s="8" t="s">
        <v>32</v>
      </c>
      <c r="N115" s="8">
        <v>68</v>
      </c>
      <c r="O115" s="8" t="s">
        <v>46</v>
      </c>
      <c r="P115" s="8" t="str">
        <f t="shared" si="2"/>
        <v>Valid</v>
      </c>
      <c r="Q115" s="8" t="str">
        <f t="shared" si="3"/>
        <v>Valid</v>
      </c>
    </row>
    <row r="116" spans="1:17" ht="13.8">
      <c r="A116" s="8" t="s">
        <v>160</v>
      </c>
      <c r="B116" s="8" t="s">
        <v>16</v>
      </c>
      <c r="C116" s="8" t="s">
        <v>17</v>
      </c>
      <c r="D116" s="7">
        <v>45799</v>
      </c>
      <c r="E116" s="7">
        <v>45819</v>
      </c>
      <c r="F116" s="8">
        <v>2737</v>
      </c>
      <c r="G116" s="8" t="s">
        <v>48</v>
      </c>
      <c r="H116" s="8" t="s">
        <v>35</v>
      </c>
      <c r="I116" s="7">
        <v>45894</v>
      </c>
      <c r="J116" s="8" t="s">
        <v>30</v>
      </c>
      <c r="K116" s="8" t="s">
        <v>31</v>
      </c>
      <c r="L116" s="8" t="s">
        <v>27</v>
      </c>
      <c r="M116" s="8" t="s">
        <v>32</v>
      </c>
      <c r="N116" s="8">
        <v>50</v>
      </c>
      <c r="O116" s="8" t="s">
        <v>46</v>
      </c>
      <c r="P116" s="8" t="str">
        <f t="shared" si="2"/>
        <v>Valid</v>
      </c>
      <c r="Q116" s="8" t="str">
        <f t="shared" si="3"/>
        <v>Valid</v>
      </c>
    </row>
    <row r="117" spans="1:17" ht="13.8">
      <c r="A117" s="8" t="s">
        <v>161</v>
      </c>
      <c r="B117" s="8" t="s">
        <v>51</v>
      </c>
      <c r="C117" s="8" t="s">
        <v>17</v>
      </c>
      <c r="D117" s="7">
        <v>45835</v>
      </c>
      <c r="E117" s="7">
        <v>45699</v>
      </c>
      <c r="F117" s="8">
        <v>4764</v>
      </c>
      <c r="G117" s="8" t="s">
        <v>28</v>
      </c>
      <c r="H117" s="8" t="s">
        <v>29</v>
      </c>
      <c r="I117" s="7">
        <v>45779</v>
      </c>
      <c r="J117" s="8" t="s">
        <v>20</v>
      </c>
      <c r="K117" s="8" t="s">
        <v>40</v>
      </c>
      <c r="L117" s="8" t="s">
        <v>22</v>
      </c>
      <c r="M117" s="8" t="s">
        <v>32</v>
      </c>
      <c r="N117" s="8">
        <v>52</v>
      </c>
      <c r="O117" s="8" t="s">
        <v>52</v>
      </c>
      <c r="P117" s="8" t="str">
        <f t="shared" si="2"/>
        <v>not valid</v>
      </c>
      <c r="Q117" s="8" t="str">
        <f t="shared" si="3"/>
        <v>Not valid</v>
      </c>
    </row>
    <row r="118" spans="1:17" ht="13.8">
      <c r="A118" s="8" t="s">
        <v>162</v>
      </c>
      <c r="B118" s="8" t="s">
        <v>38</v>
      </c>
      <c r="C118" s="8" t="s">
        <v>39</v>
      </c>
      <c r="D118" s="7">
        <v>45823</v>
      </c>
      <c r="E118" s="7">
        <v>45823</v>
      </c>
      <c r="F118" s="8">
        <v>0</v>
      </c>
      <c r="G118" s="8" t="s">
        <v>34</v>
      </c>
      <c r="H118" s="8" t="s">
        <v>49</v>
      </c>
      <c r="I118" s="8" t="s">
        <v>546</v>
      </c>
      <c r="J118" s="8" t="s">
        <v>20</v>
      </c>
      <c r="K118" s="8" t="s">
        <v>31</v>
      </c>
      <c r="L118" s="8" t="s">
        <v>41</v>
      </c>
      <c r="M118" s="8" t="s">
        <v>36</v>
      </c>
      <c r="N118" s="8">
        <v>90</v>
      </c>
      <c r="O118" s="8" t="s">
        <v>46</v>
      </c>
      <c r="P118" s="8" t="str">
        <f t="shared" si="2"/>
        <v>Valid</v>
      </c>
      <c r="Q118" s="8" t="str">
        <f t="shared" si="3"/>
        <v>Valid</v>
      </c>
    </row>
    <row r="119" spans="1:17" ht="13.8">
      <c r="A119" s="8" t="s">
        <v>163</v>
      </c>
      <c r="B119" s="8" t="s">
        <v>26</v>
      </c>
      <c r="C119" s="8" t="s">
        <v>27</v>
      </c>
      <c r="D119" s="7">
        <v>45815</v>
      </c>
      <c r="E119" s="7">
        <v>45837</v>
      </c>
      <c r="F119" s="8">
        <v>0</v>
      </c>
      <c r="G119" s="8" t="s">
        <v>34</v>
      </c>
      <c r="H119" s="8" t="s">
        <v>49</v>
      </c>
      <c r="I119" s="8" t="s">
        <v>546</v>
      </c>
      <c r="J119" s="8" t="s">
        <v>30</v>
      </c>
      <c r="K119" s="8" t="s">
        <v>40</v>
      </c>
      <c r="L119" s="8" t="s">
        <v>27</v>
      </c>
      <c r="M119" s="8" t="s">
        <v>36</v>
      </c>
      <c r="N119" s="8">
        <v>78</v>
      </c>
      <c r="O119" s="8" t="s">
        <v>52</v>
      </c>
      <c r="P119" s="8" t="str">
        <f t="shared" si="2"/>
        <v>Valid</v>
      </c>
      <c r="Q119" s="8" t="str">
        <f t="shared" si="3"/>
        <v>Valid</v>
      </c>
    </row>
    <row r="120" spans="1:17" ht="13.8">
      <c r="A120" s="8" t="s">
        <v>164</v>
      </c>
      <c r="B120" s="8" t="s">
        <v>51</v>
      </c>
      <c r="C120" s="8" t="s">
        <v>17</v>
      </c>
      <c r="D120" s="7">
        <v>45682</v>
      </c>
      <c r="E120" s="9">
        <v>45944</v>
      </c>
      <c r="F120" s="8">
        <v>4867</v>
      </c>
      <c r="G120" s="8" t="s">
        <v>48</v>
      </c>
      <c r="H120" s="8" t="s">
        <v>49</v>
      </c>
      <c r="I120" s="7">
        <v>45821</v>
      </c>
      <c r="J120" s="8" t="s">
        <v>20</v>
      </c>
      <c r="K120" s="8" t="s">
        <v>40</v>
      </c>
      <c r="L120" s="8" t="s">
        <v>27</v>
      </c>
      <c r="M120" s="8" t="s">
        <v>32</v>
      </c>
      <c r="N120" s="8">
        <v>38</v>
      </c>
      <c r="O120" s="8" t="s">
        <v>52</v>
      </c>
      <c r="P120" s="8" t="str">
        <f t="shared" si="2"/>
        <v>Valid</v>
      </c>
      <c r="Q120" s="8" t="str">
        <f t="shared" si="3"/>
        <v>Valid</v>
      </c>
    </row>
    <row r="121" spans="1:17" ht="13.8">
      <c r="A121" s="8" t="s">
        <v>165</v>
      </c>
      <c r="B121" s="8" t="s">
        <v>38</v>
      </c>
      <c r="C121" s="8" t="s">
        <v>39</v>
      </c>
      <c r="D121" s="7">
        <v>45722</v>
      </c>
      <c r="E121" s="7">
        <v>45722</v>
      </c>
      <c r="F121" s="8">
        <v>0</v>
      </c>
      <c r="G121" s="8" t="s">
        <v>34</v>
      </c>
      <c r="H121" s="8" t="s">
        <v>49</v>
      </c>
      <c r="I121" s="8" t="s">
        <v>546</v>
      </c>
      <c r="J121" s="8" t="s">
        <v>30</v>
      </c>
      <c r="K121" s="8" t="s">
        <v>31</v>
      </c>
      <c r="L121" s="8" t="s">
        <v>27</v>
      </c>
      <c r="M121" s="8" t="s">
        <v>32</v>
      </c>
      <c r="N121" s="8">
        <v>89</v>
      </c>
      <c r="O121" s="8" t="s">
        <v>52</v>
      </c>
      <c r="P121" s="8" t="str">
        <f t="shared" si="2"/>
        <v>Valid</v>
      </c>
      <c r="Q121" s="8" t="str">
        <f t="shared" si="3"/>
        <v>Valid</v>
      </c>
    </row>
    <row r="122" spans="1:17" ht="13.8">
      <c r="A122" s="8" t="s">
        <v>166</v>
      </c>
      <c r="B122" s="8" t="s">
        <v>51</v>
      </c>
      <c r="C122" s="8" t="s">
        <v>39</v>
      </c>
      <c r="D122" s="7">
        <v>45759</v>
      </c>
      <c r="E122" s="7">
        <v>45759</v>
      </c>
      <c r="F122" s="8">
        <v>0</v>
      </c>
      <c r="G122" s="8" t="s">
        <v>18</v>
      </c>
      <c r="H122" s="8" t="s">
        <v>19</v>
      </c>
      <c r="I122" s="8" t="s">
        <v>546</v>
      </c>
      <c r="J122" s="8" t="s">
        <v>30</v>
      </c>
      <c r="K122" s="8" t="s">
        <v>43</v>
      </c>
      <c r="L122" s="8" t="s">
        <v>27</v>
      </c>
      <c r="M122" s="8" t="s">
        <v>23</v>
      </c>
      <c r="N122" s="8">
        <v>56</v>
      </c>
      <c r="O122" s="8" t="s">
        <v>24</v>
      </c>
      <c r="P122" s="8" t="str">
        <f t="shared" si="2"/>
        <v>Valid</v>
      </c>
      <c r="Q122" s="8" t="str">
        <f t="shared" si="3"/>
        <v>Valid</v>
      </c>
    </row>
    <row r="123" spans="1:17" ht="13.8">
      <c r="A123" s="8" t="s">
        <v>167</v>
      </c>
      <c r="B123" s="8" t="s">
        <v>38</v>
      </c>
      <c r="C123" s="8" t="s">
        <v>17</v>
      </c>
      <c r="D123" s="7">
        <v>45937</v>
      </c>
      <c r="E123" s="7">
        <v>45786</v>
      </c>
      <c r="F123" s="8">
        <v>3765</v>
      </c>
      <c r="G123" s="8" t="s">
        <v>18</v>
      </c>
      <c r="H123" s="8" t="s">
        <v>49</v>
      </c>
      <c r="I123" s="7">
        <v>45919</v>
      </c>
      <c r="J123" s="8" t="s">
        <v>30</v>
      </c>
      <c r="K123" s="8" t="s">
        <v>40</v>
      </c>
      <c r="L123" s="8" t="s">
        <v>547</v>
      </c>
      <c r="M123" s="8" t="s">
        <v>32</v>
      </c>
      <c r="N123" s="8">
        <v>69</v>
      </c>
      <c r="O123" s="8" t="s">
        <v>24</v>
      </c>
      <c r="P123" s="8" t="str">
        <f t="shared" si="2"/>
        <v>not valid</v>
      </c>
      <c r="Q123" s="8" t="str">
        <f t="shared" si="3"/>
        <v>Not valid</v>
      </c>
    </row>
    <row r="124" spans="1:17" ht="13.8">
      <c r="A124" s="8" t="s">
        <v>168</v>
      </c>
      <c r="B124" s="8" t="s">
        <v>38</v>
      </c>
      <c r="C124" s="8" t="s">
        <v>27</v>
      </c>
      <c r="D124" s="7">
        <v>45913</v>
      </c>
      <c r="E124" s="7">
        <v>45920</v>
      </c>
      <c r="F124" s="8">
        <v>0</v>
      </c>
      <c r="G124" s="8" t="s">
        <v>48</v>
      </c>
      <c r="H124" s="8" t="s">
        <v>29</v>
      </c>
      <c r="I124" s="8" t="s">
        <v>546</v>
      </c>
      <c r="J124" s="8" t="s">
        <v>30</v>
      </c>
      <c r="K124" s="8" t="s">
        <v>40</v>
      </c>
      <c r="L124" s="8" t="s">
        <v>22</v>
      </c>
      <c r="M124" s="8" t="s">
        <v>23</v>
      </c>
      <c r="N124" s="8">
        <v>94</v>
      </c>
      <c r="O124" s="8" t="s">
        <v>46</v>
      </c>
      <c r="P124" s="8" t="str">
        <f t="shared" si="2"/>
        <v>Valid</v>
      </c>
      <c r="Q124" s="8" t="str">
        <f t="shared" si="3"/>
        <v>Valid</v>
      </c>
    </row>
    <row r="125" spans="1:17" ht="13.8">
      <c r="A125" s="8" t="s">
        <v>169</v>
      </c>
      <c r="B125" s="8" t="s">
        <v>51</v>
      </c>
      <c r="C125" s="8" t="s">
        <v>27</v>
      </c>
      <c r="D125" s="7">
        <v>45718</v>
      </c>
      <c r="E125" s="7">
        <v>45684</v>
      </c>
      <c r="F125" s="8">
        <v>0</v>
      </c>
      <c r="G125" s="8" t="s">
        <v>34</v>
      </c>
      <c r="H125" s="8" t="s">
        <v>29</v>
      </c>
      <c r="I125" s="8" t="s">
        <v>546</v>
      </c>
      <c r="J125" s="8" t="s">
        <v>30</v>
      </c>
      <c r="K125" s="8" t="s">
        <v>40</v>
      </c>
      <c r="L125" s="8" t="s">
        <v>44</v>
      </c>
      <c r="M125" s="8" t="s">
        <v>32</v>
      </c>
      <c r="N125" s="8">
        <v>34</v>
      </c>
      <c r="O125" s="8" t="s">
        <v>46</v>
      </c>
      <c r="P125" s="8" t="str">
        <f t="shared" si="2"/>
        <v>not valid</v>
      </c>
      <c r="Q125" s="8" t="str">
        <f t="shared" si="3"/>
        <v>Valid</v>
      </c>
    </row>
    <row r="126" spans="1:17" ht="13.8">
      <c r="A126" s="8" t="s">
        <v>170</v>
      </c>
      <c r="B126" s="8" t="s">
        <v>38</v>
      </c>
      <c r="C126" s="8" t="s">
        <v>17</v>
      </c>
      <c r="D126" s="7">
        <v>45693</v>
      </c>
      <c r="E126" s="9">
        <v>45941</v>
      </c>
      <c r="F126" s="8">
        <v>4203</v>
      </c>
      <c r="G126" s="8" t="s">
        <v>48</v>
      </c>
      <c r="H126" s="8" t="s">
        <v>19</v>
      </c>
      <c r="I126" s="7">
        <v>45750</v>
      </c>
      <c r="J126" s="8" t="s">
        <v>20</v>
      </c>
      <c r="K126" s="8" t="s">
        <v>43</v>
      </c>
      <c r="L126" s="8" t="s">
        <v>27</v>
      </c>
      <c r="M126" s="8" t="s">
        <v>32</v>
      </c>
      <c r="N126" s="8">
        <v>52</v>
      </c>
      <c r="O126" s="8" t="s">
        <v>46</v>
      </c>
      <c r="P126" s="8" t="str">
        <f t="shared" si="2"/>
        <v>Valid</v>
      </c>
      <c r="Q126" s="8" t="str">
        <f t="shared" si="3"/>
        <v>Valid</v>
      </c>
    </row>
    <row r="127" spans="1:17" ht="13.8">
      <c r="A127" s="8" t="s">
        <v>171</v>
      </c>
      <c r="B127" s="8" t="s">
        <v>51</v>
      </c>
      <c r="C127" s="8" t="s">
        <v>39</v>
      </c>
      <c r="D127" s="7">
        <v>45879</v>
      </c>
      <c r="E127" s="7">
        <v>45879</v>
      </c>
      <c r="F127" s="8">
        <v>0</v>
      </c>
      <c r="G127" s="8" t="s">
        <v>28</v>
      </c>
      <c r="H127" s="8" t="s">
        <v>29</v>
      </c>
      <c r="I127" s="8" t="s">
        <v>546</v>
      </c>
      <c r="J127" s="8" t="s">
        <v>30</v>
      </c>
      <c r="K127" s="8" t="s">
        <v>31</v>
      </c>
      <c r="L127" s="8" t="s">
        <v>44</v>
      </c>
      <c r="M127" s="8" t="s">
        <v>23</v>
      </c>
      <c r="N127" s="8">
        <v>94</v>
      </c>
      <c r="O127" s="8" t="s">
        <v>46</v>
      </c>
      <c r="P127" s="8" t="str">
        <f t="shared" si="2"/>
        <v>Valid</v>
      </c>
      <c r="Q127" s="8" t="str">
        <f t="shared" si="3"/>
        <v>Valid</v>
      </c>
    </row>
    <row r="128" spans="1:17" ht="13.8">
      <c r="A128" s="8" t="s">
        <v>172</v>
      </c>
      <c r="B128" s="8" t="s">
        <v>26</v>
      </c>
      <c r="C128" s="8" t="s">
        <v>17</v>
      </c>
      <c r="D128" s="7">
        <v>45816</v>
      </c>
      <c r="E128" s="7">
        <v>45676</v>
      </c>
      <c r="F128" s="8">
        <v>3566</v>
      </c>
      <c r="G128" s="8" t="s">
        <v>48</v>
      </c>
      <c r="H128" s="8" t="s">
        <v>19</v>
      </c>
      <c r="I128" s="7">
        <v>45667</v>
      </c>
      <c r="J128" s="8" t="s">
        <v>30</v>
      </c>
      <c r="K128" s="8" t="s">
        <v>43</v>
      </c>
      <c r="L128" s="8" t="s">
        <v>27</v>
      </c>
      <c r="M128" s="8" t="s">
        <v>45</v>
      </c>
      <c r="N128" s="8">
        <v>75</v>
      </c>
      <c r="O128" s="8" t="s">
        <v>52</v>
      </c>
      <c r="P128" s="8" t="str">
        <f t="shared" si="2"/>
        <v>not valid</v>
      </c>
      <c r="Q128" s="8" t="str">
        <f t="shared" si="3"/>
        <v>Not valid</v>
      </c>
    </row>
    <row r="129" spans="1:17" ht="13.8">
      <c r="A129" s="8" t="s">
        <v>173</v>
      </c>
      <c r="B129" s="8" t="s">
        <v>16</v>
      </c>
      <c r="C129" s="8" t="s">
        <v>39</v>
      </c>
      <c r="D129" s="7">
        <v>45906</v>
      </c>
      <c r="E129" s="7">
        <v>45906</v>
      </c>
      <c r="F129" s="8">
        <v>0</v>
      </c>
      <c r="G129" s="8" t="s">
        <v>48</v>
      </c>
      <c r="H129" s="8" t="s">
        <v>35</v>
      </c>
      <c r="I129" s="8" t="s">
        <v>546</v>
      </c>
      <c r="J129" s="8" t="s">
        <v>30</v>
      </c>
      <c r="K129" s="8" t="s">
        <v>40</v>
      </c>
      <c r="L129" s="8" t="s">
        <v>27</v>
      </c>
      <c r="M129" s="8" t="s">
        <v>23</v>
      </c>
      <c r="N129" s="8">
        <v>55</v>
      </c>
      <c r="O129" s="8" t="s">
        <v>24</v>
      </c>
      <c r="P129" s="8" t="str">
        <f t="shared" si="2"/>
        <v>Valid</v>
      </c>
      <c r="Q129" s="8" t="str">
        <f t="shared" si="3"/>
        <v>Valid</v>
      </c>
    </row>
    <row r="130" spans="1:17" ht="13.8">
      <c r="A130" s="8" t="s">
        <v>174</v>
      </c>
      <c r="B130" s="8" t="s">
        <v>16</v>
      </c>
      <c r="C130" s="8" t="s">
        <v>39</v>
      </c>
      <c r="D130" s="7">
        <v>45748</v>
      </c>
      <c r="E130" s="7">
        <v>45748</v>
      </c>
      <c r="F130" s="8">
        <v>0</v>
      </c>
      <c r="G130" s="8" t="s">
        <v>34</v>
      </c>
      <c r="H130" s="8" t="s">
        <v>49</v>
      </c>
      <c r="I130" s="8" t="s">
        <v>546</v>
      </c>
      <c r="J130" s="8" t="s">
        <v>20</v>
      </c>
      <c r="K130" s="8" t="s">
        <v>40</v>
      </c>
      <c r="L130" s="8" t="s">
        <v>44</v>
      </c>
      <c r="M130" s="8" t="s">
        <v>23</v>
      </c>
      <c r="N130" s="8">
        <v>47</v>
      </c>
      <c r="O130" s="8" t="s">
        <v>52</v>
      </c>
      <c r="P130" s="8" t="str">
        <f t="shared" ref="P130:P193" si="4">IF(OR(D130&lt;E130,D130=E130), "Valid","not valid")</f>
        <v>Valid</v>
      </c>
      <c r="Q130" s="8" t="str">
        <f t="shared" ref="Q130:Q193" si="5">IF(OR(D130 &lt;I130,D130=I130),"Valid","Not valid")</f>
        <v>Valid</v>
      </c>
    </row>
    <row r="131" spans="1:17" ht="13.8">
      <c r="A131" s="8" t="s">
        <v>175</v>
      </c>
      <c r="B131" s="8" t="s">
        <v>38</v>
      </c>
      <c r="C131" s="8" t="s">
        <v>17</v>
      </c>
      <c r="D131" s="7">
        <v>45793</v>
      </c>
      <c r="E131" s="7">
        <v>45850</v>
      </c>
      <c r="F131" s="8">
        <v>2007</v>
      </c>
      <c r="G131" s="8" t="s">
        <v>28</v>
      </c>
      <c r="H131" s="8" t="s">
        <v>35</v>
      </c>
      <c r="I131" s="7">
        <v>45824</v>
      </c>
      <c r="J131" s="8" t="s">
        <v>20</v>
      </c>
      <c r="K131" s="8" t="s">
        <v>43</v>
      </c>
      <c r="L131" s="8" t="s">
        <v>547</v>
      </c>
      <c r="M131" s="8" t="s">
        <v>23</v>
      </c>
      <c r="N131" s="8">
        <v>80</v>
      </c>
      <c r="O131" s="8" t="s">
        <v>46</v>
      </c>
      <c r="P131" s="8" t="str">
        <f t="shared" si="4"/>
        <v>Valid</v>
      </c>
      <c r="Q131" s="8" t="str">
        <f t="shared" si="5"/>
        <v>Valid</v>
      </c>
    </row>
    <row r="132" spans="1:17" ht="13.8">
      <c r="A132" s="8" t="s">
        <v>176</v>
      </c>
      <c r="B132" s="8" t="s">
        <v>16</v>
      </c>
      <c r="C132" s="8" t="s">
        <v>39</v>
      </c>
      <c r="D132" s="7">
        <v>45836</v>
      </c>
      <c r="E132" s="7">
        <v>45836</v>
      </c>
      <c r="F132" s="8">
        <v>0</v>
      </c>
      <c r="G132" s="8" t="s">
        <v>34</v>
      </c>
      <c r="H132" s="8" t="s">
        <v>35</v>
      </c>
      <c r="I132" s="8" t="s">
        <v>546</v>
      </c>
      <c r="J132" s="8" t="s">
        <v>30</v>
      </c>
      <c r="K132" s="8" t="s">
        <v>40</v>
      </c>
      <c r="L132" s="8" t="s">
        <v>27</v>
      </c>
      <c r="M132" s="8" t="s">
        <v>32</v>
      </c>
      <c r="N132" s="8">
        <v>76</v>
      </c>
      <c r="O132" s="8" t="s">
        <v>24</v>
      </c>
      <c r="P132" s="8" t="str">
        <f t="shared" si="4"/>
        <v>Valid</v>
      </c>
      <c r="Q132" s="8" t="str">
        <f t="shared" si="5"/>
        <v>Valid</v>
      </c>
    </row>
    <row r="133" spans="1:17" ht="13.8">
      <c r="A133" s="8" t="s">
        <v>177</v>
      </c>
      <c r="B133" s="8" t="s">
        <v>16</v>
      </c>
      <c r="C133" s="8" t="s">
        <v>27</v>
      </c>
      <c r="D133" s="7">
        <v>45685</v>
      </c>
      <c r="E133" s="7">
        <v>45829</v>
      </c>
      <c r="F133" s="8">
        <v>0</v>
      </c>
      <c r="G133" s="8" t="s">
        <v>18</v>
      </c>
      <c r="H133" s="8" t="s">
        <v>19</v>
      </c>
      <c r="I133" s="8" t="s">
        <v>546</v>
      </c>
      <c r="J133" s="8" t="s">
        <v>20</v>
      </c>
      <c r="K133" s="8" t="s">
        <v>31</v>
      </c>
      <c r="L133" s="8" t="s">
        <v>22</v>
      </c>
      <c r="M133" s="8" t="s">
        <v>36</v>
      </c>
      <c r="N133" s="8">
        <v>91</v>
      </c>
      <c r="O133" s="8" t="s">
        <v>46</v>
      </c>
      <c r="P133" s="8" t="str">
        <f t="shared" si="4"/>
        <v>Valid</v>
      </c>
      <c r="Q133" s="8" t="str">
        <f t="shared" si="5"/>
        <v>Valid</v>
      </c>
    </row>
    <row r="134" spans="1:17" ht="13.8">
      <c r="A134" s="8" t="s">
        <v>178</v>
      </c>
      <c r="B134" s="8" t="s">
        <v>16</v>
      </c>
      <c r="C134" s="8" t="s">
        <v>39</v>
      </c>
      <c r="D134" s="7">
        <v>45811</v>
      </c>
      <c r="E134" s="7">
        <v>45811</v>
      </c>
      <c r="F134" s="8">
        <v>0</v>
      </c>
      <c r="G134" s="8" t="s">
        <v>48</v>
      </c>
      <c r="H134" s="8" t="s">
        <v>35</v>
      </c>
      <c r="I134" s="8" t="s">
        <v>546</v>
      </c>
      <c r="J134" s="8" t="s">
        <v>30</v>
      </c>
      <c r="K134" s="8" t="s">
        <v>21</v>
      </c>
      <c r="L134" s="8" t="s">
        <v>27</v>
      </c>
      <c r="M134" s="8" t="s">
        <v>36</v>
      </c>
      <c r="N134" s="8">
        <v>67</v>
      </c>
      <c r="O134" s="8" t="s">
        <v>52</v>
      </c>
      <c r="P134" s="8" t="str">
        <f t="shared" si="4"/>
        <v>Valid</v>
      </c>
      <c r="Q134" s="8" t="str">
        <f t="shared" si="5"/>
        <v>Valid</v>
      </c>
    </row>
    <row r="135" spans="1:17" ht="13.8">
      <c r="A135" s="8" t="s">
        <v>179</v>
      </c>
      <c r="B135" s="8" t="s">
        <v>16</v>
      </c>
      <c r="C135" s="8" t="s">
        <v>17</v>
      </c>
      <c r="D135" s="7">
        <v>45808</v>
      </c>
      <c r="E135" s="7">
        <v>45886</v>
      </c>
      <c r="F135" s="8">
        <v>3459</v>
      </c>
      <c r="G135" s="8" t="s">
        <v>28</v>
      </c>
      <c r="H135" s="8" t="s">
        <v>35</v>
      </c>
      <c r="I135" s="7">
        <v>45829</v>
      </c>
      <c r="J135" s="8" t="s">
        <v>20</v>
      </c>
      <c r="K135" s="8" t="s">
        <v>21</v>
      </c>
      <c r="L135" s="8" t="s">
        <v>27</v>
      </c>
      <c r="M135" s="8" t="s">
        <v>36</v>
      </c>
      <c r="N135" s="8">
        <v>30</v>
      </c>
      <c r="O135" s="8" t="s">
        <v>52</v>
      </c>
      <c r="P135" s="8" t="str">
        <f t="shared" si="4"/>
        <v>Valid</v>
      </c>
      <c r="Q135" s="8" t="str">
        <f t="shared" si="5"/>
        <v>Valid</v>
      </c>
    </row>
    <row r="136" spans="1:17" ht="13.8">
      <c r="A136" s="8" t="s">
        <v>180</v>
      </c>
      <c r="B136" s="8" t="s">
        <v>16</v>
      </c>
      <c r="C136" s="8" t="s">
        <v>17</v>
      </c>
      <c r="D136" s="7">
        <v>45673</v>
      </c>
      <c r="E136" s="7">
        <v>45700</v>
      </c>
      <c r="F136" s="8">
        <v>4475</v>
      </c>
      <c r="G136" s="8" t="s">
        <v>34</v>
      </c>
      <c r="H136" s="8" t="s">
        <v>35</v>
      </c>
      <c r="I136" s="7">
        <v>45905</v>
      </c>
      <c r="J136" s="8" t="s">
        <v>30</v>
      </c>
      <c r="K136" s="8" t="s">
        <v>31</v>
      </c>
      <c r="L136" s="8" t="s">
        <v>27</v>
      </c>
      <c r="M136" s="8" t="s">
        <v>32</v>
      </c>
      <c r="N136" s="8">
        <v>39</v>
      </c>
      <c r="O136" s="8" t="s">
        <v>46</v>
      </c>
      <c r="P136" s="8" t="str">
        <f t="shared" si="4"/>
        <v>Valid</v>
      </c>
      <c r="Q136" s="8" t="str">
        <f t="shared" si="5"/>
        <v>Valid</v>
      </c>
    </row>
    <row r="137" spans="1:17" ht="13.8">
      <c r="A137" s="8" t="s">
        <v>181</v>
      </c>
      <c r="B137" s="8" t="s">
        <v>51</v>
      </c>
      <c r="C137" s="8" t="s">
        <v>39</v>
      </c>
      <c r="D137" s="7">
        <v>45901</v>
      </c>
      <c r="E137" s="7">
        <v>45901</v>
      </c>
      <c r="F137" s="8">
        <v>0</v>
      </c>
      <c r="G137" s="8" t="s">
        <v>28</v>
      </c>
      <c r="H137" s="8" t="s">
        <v>49</v>
      </c>
      <c r="I137" s="8" t="s">
        <v>546</v>
      </c>
      <c r="J137" s="8" t="s">
        <v>30</v>
      </c>
      <c r="K137" s="8" t="s">
        <v>40</v>
      </c>
      <c r="L137" s="8" t="s">
        <v>44</v>
      </c>
      <c r="M137" s="8" t="s">
        <v>32</v>
      </c>
      <c r="N137" s="8">
        <v>69</v>
      </c>
      <c r="O137" s="8" t="s">
        <v>24</v>
      </c>
      <c r="P137" s="8" t="str">
        <f t="shared" si="4"/>
        <v>Valid</v>
      </c>
      <c r="Q137" s="8" t="str">
        <f t="shared" si="5"/>
        <v>Valid</v>
      </c>
    </row>
    <row r="138" spans="1:17" ht="13.8">
      <c r="A138" s="8" t="s">
        <v>182</v>
      </c>
      <c r="B138" s="8" t="s">
        <v>26</v>
      </c>
      <c r="C138" s="8" t="s">
        <v>17</v>
      </c>
      <c r="D138" s="7">
        <v>45749</v>
      </c>
      <c r="E138" s="7">
        <v>45716</v>
      </c>
      <c r="F138" s="8">
        <v>4109</v>
      </c>
      <c r="G138" s="8" t="s">
        <v>28</v>
      </c>
      <c r="H138" s="8" t="s">
        <v>49</v>
      </c>
      <c r="I138" s="7">
        <v>45688</v>
      </c>
      <c r="J138" s="8" t="s">
        <v>30</v>
      </c>
      <c r="K138" s="8" t="s">
        <v>21</v>
      </c>
      <c r="L138" s="8" t="s">
        <v>547</v>
      </c>
      <c r="M138" s="8" t="s">
        <v>45</v>
      </c>
      <c r="N138" s="8">
        <v>42</v>
      </c>
      <c r="O138" s="8" t="s">
        <v>24</v>
      </c>
      <c r="P138" s="8" t="str">
        <f t="shared" si="4"/>
        <v>not valid</v>
      </c>
      <c r="Q138" s="8" t="str">
        <f t="shared" si="5"/>
        <v>Not valid</v>
      </c>
    </row>
    <row r="139" spans="1:17" ht="13.8">
      <c r="A139" s="8" t="s">
        <v>183</v>
      </c>
      <c r="B139" s="8" t="s">
        <v>16</v>
      </c>
      <c r="C139" s="8" t="s">
        <v>17</v>
      </c>
      <c r="D139" s="7">
        <v>45853</v>
      </c>
      <c r="E139" s="7">
        <v>45910</v>
      </c>
      <c r="F139" s="8">
        <v>3187</v>
      </c>
      <c r="G139" s="8" t="s">
        <v>48</v>
      </c>
      <c r="H139" s="8" t="s">
        <v>49</v>
      </c>
      <c r="I139" s="7">
        <v>45780</v>
      </c>
      <c r="J139" s="8" t="s">
        <v>30</v>
      </c>
      <c r="K139" s="8" t="s">
        <v>43</v>
      </c>
      <c r="L139" s="8" t="s">
        <v>22</v>
      </c>
      <c r="M139" s="8" t="s">
        <v>23</v>
      </c>
      <c r="N139" s="8">
        <v>49</v>
      </c>
      <c r="O139" s="8" t="s">
        <v>52</v>
      </c>
      <c r="P139" s="8" t="str">
        <f t="shared" si="4"/>
        <v>Valid</v>
      </c>
      <c r="Q139" s="8" t="str">
        <f t="shared" si="5"/>
        <v>Not valid</v>
      </c>
    </row>
    <row r="140" spans="1:17" ht="13.8">
      <c r="A140" s="8" t="s">
        <v>184</v>
      </c>
      <c r="B140" s="8" t="s">
        <v>16</v>
      </c>
      <c r="C140" s="8" t="s">
        <v>27</v>
      </c>
      <c r="D140" s="7">
        <v>45831</v>
      </c>
      <c r="E140" s="7">
        <v>45938</v>
      </c>
      <c r="F140" s="8">
        <v>0</v>
      </c>
      <c r="G140" s="8" t="s">
        <v>18</v>
      </c>
      <c r="H140" s="8" t="s">
        <v>29</v>
      </c>
      <c r="I140" s="8" t="s">
        <v>546</v>
      </c>
      <c r="J140" s="8" t="s">
        <v>30</v>
      </c>
      <c r="K140" s="8" t="s">
        <v>43</v>
      </c>
      <c r="L140" s="8" t="s">
        <v>44</v>
      </c>
      <c r="M140" s="8" t="s">
        <v>36</v>
      </c>
      <c r="N140" s="8">
        <v>38</v>
      </c>
      <c r="O140" s="8" t="s">
        <v>52</v>
      </c>
      <c r="P140" s="8" t="str">
        <f t="shared" si="4"/>
        <v>Valid</v>
      </c>
      <c r="Q140" s="8" t="str">
        <f t="shared" si="5"/>
        <v>Valid</v>
      </c>
    </row>
    <row r="141" spans="1:17" ht="13.8">
      <c r="A141" s="8" t="s">
        <v>185</v>
      </c>
      <c r="B141" s="8" t="s">
        <v>26</v>
      </c>
      <c r="C141" s="8" t="s">
        <v>39</v>
      </c>
      <c r="D141" s="7">
        <v>45897</v>
      </c>
      <c r="E141" s="7">
        <v>45897</v>
      </c>
      <c r="F141" s="8">
        <v>0</v>
      </c>
      <c r="G141" s="8" t="s">
        <v>34</v>
      </c>
      <c r="H141" s="8" t="s">
        <v>29</v>
      </c>
      <c r="I141" s="8" t="s">
        <v>546</v>
      </c>
      <c r="J141" s="8" t="s">
        <v>30</v>
      </c>
      <c r="K141" s="8" t="s">
        <v>21</v>
      </c>
      <c r="L141" s="8" t="s">
        <v>27</v>
      </c>
      <c r="M141" s="8" t="s">
        <v>23</v>
      </c>
      <c r="N141" s="8">
        <v>31</v>
      </c>
      <c r="O141" s="8" t="s">
        <v>24</v>
      </c>
      <c r="P141" s="8" t="str">
        <f t="shared" si="4"/>
        <v>Valid</v>
      </c>
      <c r="Q141" s="8" t="str">
        <f t="shared" si="5"/>
        <v>Valid</v>
      </c>
    </row>
    <row r="142" spans="1:17" ht="13.8">
      <c r="A142" s="8" t="s">
        <v>186</v>
      </c>
      <c r="B142" s="8" t="s">
        <v>38</v>
      </c>
      <c r="C142" s="8" t="s">
        <v>27</v>
      </c>
      <c r="D142" s="7">
        <v>45818</v>
      </c>
      <c r="E142" s="7">
        <v>45923</v>
      </c>
      <c r="F142" s="8">
        <v>0</v>
      </c>
      <c r="G142" s="8" t="s">
        <v>34</v>
      </c>
      <c r="H142" s="8" t="s">
        <v>29</v>
      </c>
      <c r="I142" s="8" t="s">
        <v>546</v>
      </c>
      <c r="J142" s="8" t="s">
        <v>30</v>
      </c>
      <c r="K142" s="8" t="s">
        <v>43</v>
      </c>
      <c r="L142" s="8" t="s">
        <v>41</v>
      </c>
      <c r="M142" s="8" t="s">
        <v>32</v>
      </c>
      <c r="N142" s="8">
        <v>89</v>
      </c>
      <c r="O142" s="8" t="s">
        <v>24</v>
      </c>
      <c r="P142" s="8" t="str">
        <f t="shared" si="4"/>
        <v>Valid</v>
      </c>
      <c r="Q142" s="8" t="str">
        <f t="shared" si="5"/>
        <v>Valid</v>
      </c>
    </row>
    <row r="143" spans="1:17" ht="13.8">
      <c r="A143" s="8" t="s">
        <v>187</v>
      </c>
      <c r="B143" s="8" t="s">
        <v>38</v>
      </c>
      <c r="C143" s="8" t="s">
        <v>27</v>
      </c>
      <c r="D143" s="7">
        <v>45919</v>
      </c>
      <c r="E143" s="7">
        <v>45703</v>
      </c>
      <c r="F143" s="8">
        <v>0</v>
      </c>
      <c r="G143" s="8" t="s">
        <v>18</v>
      </c>
      <c r="H143" s="8" t="s">
        <v>29</v>
      </c>
      <c r="I143" s="8" t="s">
        <v>546</v>
      </c>
      <c r="J143" s="8" t="s">
        <v>20</v>
      </c>
      <c r="K143" s="8" t="s">
        <v>43</v>
      </c>
      <c r="L143" s="8" t="s">
        <v>44</v>
      </c>
      <c r="M143" s="8" t="s">
        <v>32</v>
      </c>
      <c r="N143" s="8">
        <v>69</v>
      </c>
      <c r="O143" s="8" t="s">
        <v>52</v>
      </c>
      <c r="P143" s="8" t="str">
        <f t="shared" si="4"/>
        <v>not valid</v>
      </c>
      <c r="Q143" s="8" t="str">
        <f t="shared" si="5"/>
        <v>Valid</v>
      </c>
    </row>
    <row r="144" spans="1:17" ht="13.8">
      <c r="A144" s="8" t="s">
        <v>188</v>
      </c>
      <c r="B144" s="8" t="s">
        <v>51</v>
      </c>
      <c r="C144" s="8" t="s">
        <v>27</v>
      </c>
      <c r="D144" s="7">
        <v>45897</v>
      </c>
      <c r="E144" s="7">
        <v>45839</v>
      </c>
      <c r="F144" s="8">
        <v>0</v>
      </c>
      <c r="G144" s="8" t="s">
        <v>34</v>
      </c>
      <c r="H144" s="8" t="s">
        <v>49</v>
      </c>
      <c r="I144" s="8" t="s">
        <v>546</v>
      </c>
      <c r="J144" s="8" t="s">
        <v>20</v>
      </c>
      <c r="K144" s="8" t="s">
        <v>21</v>
      </c>
      <c r="L144" s="8" t="s">
        <v>44</v>
      </c>
      <c r="M144" s="8" t="s">
        <v>23</v>
      </c>
      <c r="N144" s="8">
        <v>30</v>
      </c>
      <c r="O144" s="8" t="s">
        <v>52</v>
      </c>
      <c r="P144" s="8" t="str">
        <f t="shared" si="4"/>
        <v>not valid</v>
      </c>
      <c r="Q144" s="8" t="str">
        <f t="shared" si="5"/>
        <v>Valid</v>
      </c>
    </row>
    <row r="145" spans="1:17" ht="13.8">
      <c r="A145" s="8" t="s">
        <v>189</v>
      </c>
      <c r="B145" s="8" t="s">
        <v>26</v>
      </c>
      <c r="C145" s="8" t="s">
        <v>39</v>
      </c>
      <c r="D145" s="7">
        <v>45703</v>
      </c>
      <c r="E145" s="7">
        <v>45703</v>
      </c>
      <c r="F145" s="8">
        <v>0</v>
      </c>
      <c r="G145" s="8" t="s">
        <v>48</v>
      </c>
      <c r="H145" s="8" t="s">
        <v>35</v>
      </c>
      <c r="I145" s="8" t="s">
        <v>546</v>
      </c>
      <c r="J145" s="8" t="s">
        <v>20</v>
      </c>
      <c r="K145" s="8" t="s">
        <v>43</v>
      </c>
      <c r="L145" s="8" t="s">
        <v>41</v>
      </c>
      <c r="M145" s="8" t="s">
        <v>36</v>
      </c>
      <c r="N145" s="8">
        <v>64</v>
      </c>
      <c r="O145" s="8" t="s">
        <v>46</v>
      </c>
      <c r="P145" s="8" t="str">
        <f t="shared" si="4"/>
        <v>Valid</v>
      </c>
      <c r="Q145" s="8" t="str">
        <f t="shared" si="5"/>
        <v>Valid</v>
      </c>
    </row>
    <row r="146" spans="1:17" ht="13.8">
      <c r="A146" s="8" t="s">
        <v>190</v>
      </c>
      <c r="B146" s="8" t="s">
        <v>38</v>
      </c>
      <c r="C146" s="8" t="s">
        <v>39</v>
      </c>
      <c r="D146" s="7">
        <v>45937</v>
      </c>
      <c r="E146" s="7">
        <v>45937</v>
      </c>
      <c r="F146" s="8">
        <v>0</v>
      </c>
      <c r="G146" s="8" t="s">
        <v>48</v>
      </c>
      <c r="H146" s="8" t="s">
        <v>49</v>
      </c>
      <c r="I146" s="8" t="s">
        <v>546</v>
      </c>
      <c r="J146" s="8" t="s">
        <v>20</v>
      </c>
      <c r="K146" s="8" t="s">
        <v>21</v>
      </c>
      <c r="L146" s="8" t="s">
        <v>27</v>
      </c>
      <c r="M146" s="8" t="s">
        <v>36</v>
      </c>
      <c r="N146" s="8">
        <v>95</v>
      </c>
      <c r="O146" s="8" t="s">
        <v>24</v>
      </c>
      <c r="P146" s="8" t="str">
        <f t="shared" si="4"/>
        <v>Valid</v>
      </c>
      <c r="Q146" s="8" t="str">
        <f t="shared" si="5"/>
        <v>Valid</v>
      </c>
    </row>
    <row r="147" spans="1:17" ht="13.8">
      <c r="A147" s="8" t="s">
        <v>191</v>
      </c>
      <c r="B147" s="8" t="s">
        <v>51</v>
      </c>
      <c r="C147" s="8" t="s">
        <v>39</v>
      </c>
      <c r="D147" s="7">
        <v>45666</v>
      </c>
      <c r="E147" s="7">
        <v>45666</v>
      </c>
      <c r="F147" s="8">
        <v>0</v>
      </c>
      <c r="G147" s="8" t="s">
        <v>34</v>
      </c>
      <c r="H147" s="8" t="s">
        <v>49</v>
      </c>
      <c r="I147" s="8" t="s">
        <v>546</v>
      </c>
      <c r="J147" s="8" t="s">
        <v>30</v>
      </c>
      <c r="K147" s="8" t="s">
        <v>43</v>
      </c>
      <c r="L147" s="8" t="s">
        <v>22</v>
      </c>
      <c r="M147" s="8" t="s">
        <v>32</v>
      </c>
      <c r="N147" s="8">
        <v>42</v>
      </c>
      <c r="O147" s="8" t="s">
        <v>52</v>
      </c>
      <c r="P147" s="8" t="str">
        <f t="shared" si="4"/>
        <v>Valid</v>
      </c>
      <c r="Q147" s="8" t="str">
        <f t="shared" si="5"/>
        <v>Valid</v>
      </c>
    </row>
    <row r="148" spans="1:17" ht="13.8">
      <c r="A148" s="8" t="s">
        <v>192</v>
      </c>
      <c r="B148" s="8" t="s">
        <v>38</v>
      </c>
      <c r="C148" s="8" t="s">
        <v>39</v>
      </c>
      <c r="D148" s="7">
        <v>45699</v>
      </c>
      <c r="E148" s="7">
        <v>45699</v>
      </c>
      <c r="F148" s="8">
        <v>0</v>
      </c>
      <c r="G148" s="8" t="s">
        <v>18</v>
      </c>
      <c r="H148" s="8" t="s">
        <v>49</v>
      </c>
      <c r="I148" s="8" t="s">
        <v>546</v>
      </c>
      <c r="J148" s="8" t="s">
        <v>30</v>
      </c>
      <c r="K148" s="8" t="s">
        <v>43</v>
      </c>
      <c r="L148" s="8" t="s">
        <v>41</v>
      </c>
      <c r="M148" s="8" t="s">
        <v>23</v>
      </c>
      <c r="N148" s="8">
        <v>35</v>
      </c>
      <c r="O148" s="8" t="s">
        <v>46</v>
      </c>
      <c r="P148" s="8" t="str">
        <f t="shared" si="4"/>
        <v>Valid</v>
      </c>
      <c r="Q148" s="8" t="str">
        <f t="shared" si="5"/>
        <v>Valid</v>
      </c>
    </row>
    <row r="149" spans="1:17" ht="13.8">
      <c r="A149" s="8" t="s">
        <v>193</v>
      </c>
      <c r="B149" s="8" t="s">
        <v>51</v>
      </c>
      <c r="C149" s="8" t="s">
        <v>17</v>
      </c>
      <c r="D149" s="7">
        <v>45911</v>
      </c>
      <c r="E149" s="7">
        <v>45862</v>
      </c>
      <c r="F149" s="8">
        <v>4612</v>
      </c>
      <c r="G149" s="8" t="s">
        <v>34</v>
      </c>
      <c r="H149" s="8" t="s">
        <v>35</v>
      </c>
      <c r="I149" s="7">
        <v>45931</v>
      </c>
      <c r="J149" s="8" t="s">
        <v>30</v>
      </c>
      <c r="K149" s="8" t="s">
        <v>43</v>
      </c>
      <c r="L149" s="8" t="s">
        <v>22</v>
      </c>
      <c r="M149" s="8" t="s">
        <v>45</v>
      </c>
      <c r="N149" s="8">
        <v>54</v>
      </c>
      <c r="O149" s="8" t="s">
        <v>52</v>
      </c>
      <c r="P149" s="8" t="str">
        <f t="shared" si="4"/>
        <v>not valid</v>
      </c>
      <c r="Q149" s="8" t="str">
        <f t="shared" si="5"/>
        <v>Valid</v>
      </c>
    </row>
    <row r="150" spans="1:17" ht="13.8">
      <c r="A150" s="8" t="s">
        <v>194</v>
      </c>
      <c r="B150" s="8" t="s">
        <v>38</v>
      </c>
      <c r="C150" s="8" t="s">
        <v>27</v>
      </c>
      <c r="D150" s="7">
        <v>45868</v>
      </c>
      <c r="E150" s="7">
        <v>45739</v>
      </c>
      <c r="F150" s="8">
        <v>0</v>
      </c>
      <c r="G150" s="8" t="s">
        <v>28</v>
      </c>
      <c r="H150" s="8" t="s">
        <v>19</v>
      </c>
      <c r="I150" s="8" t="s">
        <v>546</v>
      </c>
      <c r="J150" s="8" t="s">
        <v>20</v>
      </c>
      <c r="K150" s="8" t="s">
        <v>31</v>
      </c>
      <c r="L150" s="8" t="s">
        <v>41</v>
      </c>
      <c r="M150" s="8" t="s">
        <v>32</v>
      </c>
      <c r="N150" s="8">
        <v>46</v>
      </c>
      <c r="O150" s="8" t="s">
        <v>24</v>
      </c>
      <c r="P150" s="8" t="str">
        <f t="shared" si="4"/>
        <v>not valid</v>
      </c>
      <c r="Q150" s="8" t="str">
        <f t="shared" si="5"/>
        <v>Valid</v>
      </c>
    </row>
    <row r="151" spans="1:17" ht="13.8">
      <c r="A151" s="8" t="s">
        <v>195</v>
      </c>
      <c r="B151" s="8" t="s">
        <v>38</v>
      </c>
      <c r="C151" s="8" t="s">
        <v>27</v>
      </c>
      <c r="D151" s="7">
        <v>45934</v>
      </c>
      <c r="E151" s="7">
        <v>45767</v>
      </c>
      <c r="F151" s="8">
        <v>0</v>
      </c>
      <c r="G151" s="8" t="s">
        <v>28</v>
      </c>
      <c r="H151" s="8" t="s">
        <v>49</v>
      </c>
      <c r="I151" s="8" t="s">
        <v>546</v>
      </c>
      <c r="J151" s="8" t="s">
        <v>20</v>
      </c>
      <c r="K151" s="8" t="s">
        <v>43</v>
      </c>
      <c r="L151" s="8" t="s">
        <v>27</v>
      </c>
      <c r="M151" s="8" t="s">
        <v>36</v>
      </c>
      <c r="N151" s="8">
        <v>74</v>
      </c>
      <c r="O151" s="8" t="s">
        <v>46</v>
      </c>
      <c r="P151" s="8" t="str">
        <f t="shared" si="4"/>
        <v>not valid</v>
      </c>
      <c r="Q151" s="8" t="str">
        <f t="shared" si="5"/>
        <v>Valid</v>
      </c>
    </row>
    <row r="152" spans="1:17" ht="13.8">
      <c r="A152" s="8" t="s">
        <v>196</v>
      </c>
      <c r="B152" s="8" t="s">
        <v>16</v>
      </c>
      <c r="C152" s="8" t="s">
        <v>39</v>
      </c>
      <c r="D152" s="7">
        <v>45689</v>
      </c>
      <c r="E152" s="7">
        <v>45689</v>
      </c>
      <c r="F152" s="8">
        <v>0</v>
      </c>
      <c r="G152" s="8" t="s">
        <v>28</v>
      </c>
      <c r="H152" s="8" t="s">
        <v>49</v>
      </c>
      <c r="I152" s="8" t="s">
        <v>546</v>
      </c>
      <c r="J152" s="8" t="s">
        <v>20</v>
      </c>
      <c r="K152" s="8" t="s">
        <v>21</v>
      </c>
      <c r="L152" s="8" t="s">
        <v>41</v>
      </c>
      <c r="M152" s="8" t="s">
        <v>32</v>
      </c>
      <c r="N152" s="8">
        <v>83</v>
      </c>
      <c r="O152" s="8" t="s">
        <v>46</v>
      </c>
      <c r="P152" s="8" t="str">
        <f t="shared" si="4"/>
        <v>Valid</v>
      </c>
      <c r="Q152" s="8" t="str">
        <f t="shared" si="5"/>
        <v>Valid</v>
      </c>
    </row>
    <row r="153" spans="1:17" ht="13.8">
      <c r="A153" s="8" t="s">
        <v>197</v>
      </c>
      <c r="B153" s="8" t="s">
        <v>51</v>
      </c>
      <c r="C153" s="8" t="s">
        <v>39</v>
      </c>
      <c r="D153" s="7">
        <v>45760</v>
      </c>
      <c r="E153" s="7">
        <v>45760</v>
      </c>
      <c r="F153" s="8">
        <v>0</v>
      </c>
      <c r="G153" s="8" t="s">
        <v>18</v>
      </c>
      <c r="H153" s="8" t="s">
        <v>29</v>
      </c>
      <c r="I153" s="8" t="s">
        <v>546</v>
      </c>
      <c r="J153" s="8" t="s">
        <v>20</v>
      </c>
      <c r="K153" s="8" t="s">
        <v>21</v>
      </c>
      <c r="L153" s="8" t="s">
        <v>41</v>
      </c>
      <c r="M153" s="8" t="s">
        <v>36</v>
      </c>
      <c r="N153" s="8">
        <v>71</v>
      </c>
      <c r="O153" s="8" t="s">
        <v>52</v>
      </c>
      <c r="P153" s="8" t="str">
        <f t="shared" si="4"/>
        <v>Valid</v>
      </c>
      <c r="Q153" s="8" t="str">
        <f t="shared" si="5"/>
        <v>Valid</v>
      </c>
    </row>
    <row r="154" spans="1:17" ht="13.8">
      <c r="A154" s="8" t="s">
        <v>198</v>
      </c>
      <c r="B154" s="8" t="s">
        <v>38</v>
      </c>
      <c r="C154" s="8" t="s">
        <v>27</v>
      </c>
      <c r="D154" s="7">
        <v>45807</v>
      </c>
      <c r="E154" s="7">
        <v>45773</v>
      </c>
      <c r="F154" s="8">
        <v>0</v>
      </c>
      <c r="G154" s="8" t="s">
        <v>18</v>
      </c>
      <c r="H154" s="8" t="s">
        <v>35</v>
      </c>
      <c r="I154" s="8" t="s">
        <v>546</v>
      </c>
      <c r="J154" s="8" t="s">
        <v>20</v>
      </c>
      <c r="K154" s="8" t="s">
        <v>40</v>
      </c>
      <c r="L154" s="8" t="s">
        <v>22</v>
      </c>
      <c r="M154" s="8" t="s">
        <v>45</v>
      </c>
      <c r="N154" s="8">
        <v>54</v>
      </c>
      <c r="O154" s="8" t="s">
        <v>52</v>
      </c>
      <c r="P154" s="8" t="str">
        <f t="shared" si="4"/>
        <v>not valid</v>
      </c>
      <c r="Q154" s="8" t="str">
        <f t="shared" si="5"/>
        <v>Valid</v>
      </c>
    </row>
    <row r="155" spans="1:17" ht="13.8">
      <c r="A155" s="8" t="s">
        <v>199</v>
      </c>
      <c r="B155" s="8" t="s">
        <v>16</v>
      </c>
      <c r="C155" s="8" t="s">
        <v>27</v>
      </c>
      <c r="D155" s="7">
        <v>45744</v>
      </c>
      <c r="E155" s="7">
        <v>45772</v>
      </c>
      <c r="F155" s="8">
        <v>0</v>
      </c>
      <c r="G155" s="8" t="s">
        <v>18</v>
      </c>
      <c r="H155" s="8" t="s">
        <v>29</v>
      </c>
      <c r="I155" s="8" t="s">
        <v>546</v>
      </c>
      <c r="J155" s="8" t="s">
        <v>30</v>
      </c>
      <c r="K155" s="8" t="s">
        <v>43</v>
      </c>
      <c r="L155" s="8" t="s">
        <v>27</v>
      </c>
      <c r="M155" s="8" t="s">
        <v>23</v>
      </c>
      <c r="N155" s="8">
        <v>91</v>
      </c>
      <c r="O155" s="8" t="s">
        <v>46</v>
      </c>
      <c r="P155" s="8" t="str">
        <f t="shared" si="4"/>
        <v>Valid</v>
      </c>
      <c r="Q155" s="8" t="str">
        <f t="shared" si="5"/>
        <v>Valid</v>
      </c>
    </row>
    <row r="156" spans="1:17" ht="13.8">
      <c r="A156" s="8" t="s">
        <v>200</v>
      </c>
      <c r="B156" s="8" t="s">
        <v>38</v>
      </c>
      <c r="C156" s="8" t="s">
        <v>39</v>
      </c>
      <c r="D156" s="7">
        <v>45820</v>
      </c>
      <c r="E156" s="7">
        <v>45820</v>
      </c>
      <c r="F156" s="8">
        <v>0</v>
      </c>
      <c r="G156" s="8" t="s">
        <v>48</v>
      </c>
      <c r="H156" s="8" t="s">
        <v>29</v>
      </c>
      <c r="I156" s="8" t="s">
        <v>546</v>
      </c>
      <c r="J156" s="8" t="s">
        <v>20</v>
      </c>
      <c r="K156" s="8" t="s">
        <v>40</v>
      </c>
      <c r="L156" s="8" t="s">
        <v>22</v>
      </c>
      <c r="M156" s="8" t="s">
        <v>36</v>
      </c>
      <c r="N156" s="8">
        <v>32</v>
      </c>
      <c r="O156" s="8" t="s">
        <v>52</v>
      </c>
      <c r="P156" s="8" t="str">
        <f t="shared" si="4"/>
        <v>Valid</v>
      </c>
      <c r="Q156" s="8" t="str">
        <f t="shared" si="5"/>
        <v>Valid</v>
      </c>
    </row>
    <row r="157" spans="1:17" ht="13.8">
      <c r="A157" s="8" t="s">
        <v>201</v>
      </c>
      <c r="B157" s="8" t="s">
        <v>51</v>
      </c>
      <c r="C157" s="8" t="s">
        <v>27</v>
      </c>
      <c r="D157" s="7">
        <v>45743</v>
      </c>
      <c r="E157" s="7">
        <v>45828</v>
      </c>
      <c r="F157" s="8">
        <v>0</v>
      </c>
      <c r="G157" s="8" t="s">
        <v>18</v>
      </c>
      <c r="H157" s="8" t="s">
        <v>35</v>
      </c>
      <c r="I157" s="8" t="s">
        <v>546</v>
      </c>
      <c r="J157" s="8" t="s">
        <v>20</v>
      </c>
      <c r="K157" s="8" t="s">
        <v>43</v>
      </c>
      <c r="L157" s="8" t="s">
        <v>41</v>
      </c>
      <c r="M157" s="8" t="s">
        <v>45</v>
      </c>
      <c r="N157" s="8">
        <v>45</v>
      </c>
      <c r="O157" s="8" t="s">
        <v>24</v>
      </c>
      <c r="P157" s="8" t="str">
        <f t="shared" si="4"/>
        <v>Valid</v>
      </c>
      <c r="Q157" s="8" t="str">
        <f t="shared" si="5"/>
        <v>Valid</v>
      </c>
    </row>
    <row r="158" spans="1:17" ht="13.8">
      <c r="A158" s="8" t="s">
        <v>202</v>
      </c>
      <c r="B158" s="8" t="s">
        <v>51</v>
      </c>
      <c r="C158" s="8" t="s">
        <v>27</v>
      </c>
      <c r="D158" s="7">
        <v>45881</v>
      </c>
      <c r="E158" s="7">
        <v>45931</v>
      </c>
      <c r="F158" s="8">
        <v>0</v>
      </c>
      <c r="G158" s="8" t="s">
        <v>34</v>
      </c>
      <c r="H158" s="8" t="s">
        <v>19</v>
      </c>
      <c r="I158" s="8" t="s">
        <v>546</v>
      </c>
      <c r="J158" s="8" t="s">
        <v>30</v>
      </c>
      <c r="K158" s="8" t="s">
        <v>31</v>
      </c>
      <c r="L158" s="8" t="s">
        <v>44</v>
      </c>
      <c r="M158" s="8" t="s">
        <v>23</v>
      </c>
      <c r="N158" s="8">
        <v>61</v>
      </c>
      <c r="O158" s="8" t="s">
        <v>46</v>
      </c>
      <c r="P158" s="8" t="str">
        <f t="shared" si="4"/>
        <v>Valid</v>
      </c>
      <c r="Q158" s="8" t="str">
        <f t="shared" si="5"/>
        <v>Valid</v>
      </c>
    </row>
    <row r="159" spans="1:17" ht="13.8">
      <c r="A159" s="8" t="s">
        <v>203</v>
      </c>
      <c r="B159" s="8" t="s">
        <v>51</v>
      </c>
      <c r="C159" s="8" t="s">
        <v>39</v>
      </c>
      <c r="D159" s="7">
        <v>45819</v>
      </c>
      <c r="E159" s="7">
        <v>45819</v>
      </c>
      <c r="F159" s="8">
        <v>0</v>
      </c>
      <c r="G159" s="8" t="s">
        <v>34</v>
      </c>
      <c r="H159" s="8" t="s">
        <v>19</v>
      </c>
      <c r="I159" s="8" t="s">
        <v>546</v>
      </c>
      <c r="J159" s="8" t="s">
        <v>30</v>
      </c>
      <c r="K159" s="8" t="s">
        <v>43</v>
      </c>
      <c r="L159" s="8" t="s">
        <v>44</v>
      </c>
      <c r="M159" s="8" t="s">
        <v>36</v>
      </c>
      <c r="N159" s="8">
        <v>63</v>
      </c>
      <c r="O159" s="8" t="s">
        <v>24</v>
      </c>
      <c r="P159" s="8" t="str">
        <f t="shared" si="4"/>
        <v>Valid</v>
      </c>
      <c r="Q159" s="8" t="str">
        <f t="shared" si="5"/>
        <v>Valid</v>
      </c>
    </row>
    <row r="160" spans="1:17" ht="13.8">
      <c r="A160" s="8" t="s">
        <v>204</v>
      </c>
      <c r="B160" s="8" t="s">
        <v>51</v>
      </c>
      <c r="C160" s="8" t="s">
        <v>39</v>
      </c>
      <c r="D160" s="7">
        <v>45799</v>
      </c>
      <c r="E160" s="7">
        <v>45799</v>
      </c>
      <c r="F160" s="8">
        <v>0</v>
      </c>
      <c r="G160" s="8" t="s">
        <v>28</v>
      </c>
      <c r="H160" s="8" t="s">
        <v>49</v>
      </c>
      <c r="I160" s="8" t="s">
        <v>546</v>
      </c>
      <c r="J160" s="8" t="s">
        <v>30</v>
      </c>
      <c r="K160" s="8" t="s">
        <v>21</v>
      </c>
      <c r="L160" s="8" t="s">
        <v>27</v>
      </c>
      <c r="M160" s="8" t="s">
        <v>23</v>
      </c>
      <c r="N160" s="8">
        <v>41</v>
      </c>
      <c r="O160" s="8" t="s">
        <v>52</v>
      </c>
      <c r="P160" s="8" t="str">
        <f t="shared" si="4"/>
        <v>Valid</v>
      </c>
      <c r="Q160" s="8" t="str">
        <f t="shared" si="5"/>
        <v>Valid</v>
      </c>
    </row>
    <row r="161" spans="1:17" ht="13.8">
      <c r="A161" s="8" t="s">
        <v>205</v>
      </c>
      <c r="B161" s="8" t="s">
        <v>38</v>
      </c>
      <c r="C161" s="8" t="s">
        <v>27</v>
      </c>
      <c r="D161" s="7">
        <v>45809</v>
      </c>
      <c r="E161" s="7">
        <v>45677</v>
      </c>
      <c r="F161" s="8">
        <v>0</v>
      </c>
      <c r="G161" s="8" t="s">
        <v>34</v>
      </c>
      <c r="H161" s="8" t="s">
        <v>19</v>
      </c>
      <c r="I161" s="8" t="s">
        <v>546</v>
      </c>
      <c r="J161" s="8" t="s">
        <v>20</v>
      </c>
      <c r="K161" s="8" t="s">
        <v>21</v>
      </c>
      <c r="L161" s="8" t="s">
        <v>44</v>
      </c>
      <c r="M161" s="8" t="s">
        <v>23</v>
      </c>
      <c r="N161" s="8">
        <v>62</v>
      </c>
      <c r="O161" s="8" t="s">
        <v>24</v>
      </c>
      <c r="P161" s="8" t="str">
        <f t="shared" si="4"/>
        <v>not valid</v>
      </c>
      <c r="Q161" s="8" t="str">
        <f t="shared" si="5"/>
        <v>Valid</v>
      </c>
    </row>
    <row r="162" spans="1:17" ht="13.8">
      <c r="A162" s="8" t="s">
        <v>206</v>
      </c>
      <c r="B162" s="8" t="s">
        <v>38</v>
      </c>
      <c r="C162" s="8" t="s">
        <v>17</v>
      </c>
      <c r="D162" s="7">
        <v>45920</v>
      </c>
      <c r="E162" s="7">
        <v>45740</v>
      </c>
      <c r="F162" s="8">
        <v>3798</v>
      </c>
      <c r="G162" s="8" t="s">
        <v>48</v>
      </c>
      <c r="H162" s="8" t="s">
        <v>19</v>
      </c>
      <c r="I162" s="7">
        <v>45704</v>
      </c>
      <c r="J162" s="8" t="s">
        <v>20</v>
      </c>
      <c r="K162" s="8" t="s">
        <v>21</v>
      </c>
      <c r="L162" s="8" t="s">
        <v>22</v>
      </c>
      <c r="M162" s="8" t="s">
        <v>36</v>
      </c>
      <c r="N162" s="8">
        <v>45</v>
      </c>
      <c r="O162" s="8" t="s">
        <v>24</v>
      </c>
      <c r="P162" s="8" t="str">
        <f t="shared" si="4"/>
        <v>not valid</v>
      </c>
      <c r="Q162" s="8" t="str">
        <f t="shared" si="5"/>
        <v>Not valid</v>
      </c>
    </row>
    <row r="163" spans="1:17" ht="13.8">
      <c r="A163" s="8" t="s">
        <v>207</v>
      </c>
      <c r="B163" s="8" t="s">
        <v>38</v>
      </c>
      <c r="C163" s="8" t="s">
        <v>27</v>
      </c>
      <c r="D163" s="7">
        <v>45723</v>
      </c>
      <c r="E163" s="7">
        <v>45743</v>
      </c>
      <c r="F163" s="8">
        <v>0</v>
      </c>
      <c r="G163" s="8" t="s">
        <v>28</v>
      </c>
      <c r="H163" s="8" t="s">
        <v>29</v>
      </c>
      <c r="I163" s="8" t="s">
        <v>546</v>
      </c>
      <c r="J163" s="8" t="s">
        <v>20</v>
      </c>
      <c r="K163" s="8" t="s">
        <v>21</v>
      </c>
      <c r="L163" s="8" t="s">
        <v>44</v>
      </c>
      <c r="M163" s="8" t="s">
        <v>32</v>
      </c>
      <c r="N163" s="8">
        <v>39</v>
      </c>
      <c r="O163" s="8" t="s">
        <v>24</v>
      </c>
      <c r="P163" s="8" t="str">
        <f t="shared" si="4"/>
        <v>Valid</v>
      </c>
      <c r="Q163" s="8" t="str">
        <f t="shared" si="5"/>
        <v>Valid</v>
      </c>
    </row>
    <row r="164" spans="1:17" ht="13.8">
      <c r="A164" s="8" t="s">
        <v>208</v>
      </c>
      <c r="B164" s="8" t="s">
        <v>51</v>
      </c>
      <c r="C164" s="8" t="s">
        <v>27</v>
      </c>
      <c r="D164" s="7">
        <v>45669</v>
      </c>
      <c r="E164" s="7">
        <v>45919</v>
      </c>
      <c r="F164" s="8">
        <v>0</v>
      </c>
      <c r="G164" s="8" t="s">
        <v>28</v>
      </c>
      <c r="H164" s="8" t="s">
        <v>29</v>
      </c>
      <c r="I164" s="8" t="s">
        <v>546</v>
      </c>
      <c r="J164" s="8" t="s">
        <v>30</v>
      </c>
      <c r="K164" s="8" t="s">
        <v>21</v>
      </c>
      <c r="L164" s="8" t="s">
        <v>27</v>
      </c>
      <c r="M164" s="8" t="s">
        <v>36</v>
      </c>
      <c r="N164" s="8">
        <v>68</v>
      </c>
      <c r="O164" s="8" t="s">
        <v>24</v>
      </c>
      <c r="P164" s="8" t="str">
        <f t="shared" si="4"/>
        <v>Valid</v>
      </c>
      <c r="Q164" s="8" t="str">
        <f t="shared" si="5"/>
        <v>Valid</v>
      </c>
    </row>
    <row r="165" spans="1:17" ht="13.8">
      <c r="A165" s="8" t="s">
        <v>209</v>
      </c>
      <c r="B165" s="8" t="s">
        <v>38</v>
      </c>
      <c r="C165" s="8" t="s">
        <v>17</v>
      </c>
      <c r="D165" s="7">
        <v>45738</v>
      </c>
      <c r="E165" s="7">
        <v>45671</v>
      </c>
      <c r="F165" s="8">
        <v>4574</v>
      </c>
      <c r="G165" s="8" t="s">
        <v>48</v>
      </c>
      <c r="H165" s="8" t="s">
        <v>35</v>
      </c>
      <c r="I165" s="7">
        <v>45873</v>
      </c>
      <c r="J165" s="8" t="s">
        <v>20</v>
      </c>
      <c r="K165" s="8" t="s">
        <v>21</v>
      </c>
      <c r="L165" s="8" t="s">
        <v>547</v>
      </c>
      <c r="M165" s="8" t="s">
        <v>45</v>
      </c>
      <c r="N165" s="8">
        <v>78</v>
      </c>
      <c r="O165" s="8" t="s">
        <v>24</v>
      </c>
      <c r="P165" s="8" t="str">
        <f t="shared" si="4"/>
        <v>not valid</v>
      </c>
      <c r="Q165" s="8" t="str">
        <f t="shared" si="5"/>
        <v>Valid</v>
      </c>
    </row>
    <row r="166" spans="1:17" ht="13.8">
      <c r="A166" s="8" t="s">
        <v>210</v>
      </c>
      <c r="B166" s="8" t="s">
        <v>51</v>
      </c>
      <c r="C166" s="8" t="s">
        <v>17</v>
      </c>
      <c r="D166" s="7">
        <v>45838</v>
      </c>
      <c r="E166" s="7">
        <v>45898</v>
      </c>
      <c r="F166" s="8">
        <v>3558</v>
      </c>
      <c r="G166" s="8" t="s">
        <v>48</v>
      </c>
      <c r="H166" s="8" t="s">
        <v>19</v>
      </c>
      <c r="I166" s="7">
        <v>45847</v>
      </c>
      <c r="J166" s="8" t="s">
        <v>30</v>
      </c>
      <c r="K166" s="8" t="s">
        <v>40</v>
      </c>
      <c r="L166" s="8" t="s">
        <v>548</v>
      </c>
      <c r="M166" s="8" t="s">
        <v>45</v>
      </c>
      <c r="N166" s="8">
        <v>48</v>
      </c>
      <c r="O166" s="8" t="s">
        <v>46</v>
      </c>
      <c r="P166" s="8" t="str">
        <f t="shared" si="4"/>
        <v>Valid</v>
      </c>
      <c r="Q166" s="8" t="str">
        <f t="shared" si="5"/>
        <v>Valid</v>
      </c>
    </row>
    <row r="167" spans="1:17" ht="13.8">
      <c r="A167" s="8" t="s">
        <v>211</v>
      </c>
      <c r="B167" s="8" t="s">
        <v>16</v>
      </c>
      <c r="C167" s="8" t="s">
        <v>17</v>
      </c>
      <c r="D167" s="7">
        <v>45825</v>
      </c>
      <c r="E167" s="7">
        <v>45708</v>
      </c>
      <c r="F167" s="8">
        <v>3229</v>
      </c>
      <c r="G167" s="8" t="s">
        <v>18</v>
      </c>
      <c r="H167" s="8" t="s">
        <v>19</v>
      </c>
      <c r="I167" s="7">
        <v>45935</v>
      </c>
      <c r="J167" s="8" t="s">
        <v>30</v>
      </c>
      <c r="K167" s="8" t="s">
        <v>40</v>
      </c>
      <c r="L167" s="8" t="s">
        <v>547</v>
      </c>
      <c r="M167" s="8" t="s">
        <v>23</v>
      </c>
      <c r="N167" s="8">
        <v>85</v>
      </c>
      <c r="O167" s="8" t="s">
        <v>24</v>
      </c>
      <c r="P167" s="8" t="str">
        <f t="shared" si="4"/>
        <v>not valid</v>
      </c>
      <c r="Q167" s="8" t="str">
        <f t="shared" si="5"/>
        <v>Valid</v>
      </c>
    </row>
    <row r="168" spans="1:17" ht="13.8">
      <c r="A168" s="8" t="s">
        <v>212</v>
      </c>
      <c r="B168" s="8" t="s">
        <v>51</v>
      </c>
      <c r="C168" s="8" t="s">
        <v>27</v>
      </c>
      <c r="D168" s="7">
        <v>45768</v>
      </c>
      <c r="E168" s="7">
        <v>45858</v>
      </c>
      <c r="F168" s="8">
        <v>0</v>
      </c>
      <c r="G168" s="8" t="s">
        <v>34</v>
      </c>
      <c r="H168" s="8" t="s">
        <v>35</v>
      </c>
      <c r="I168" s="8" t="s">
        <v>546</v>
      </c>
      <c r="J168" s="8" t="s">
        <v>20</v>
      </c>
      <c r="K168" s="8" t="s">
        <v>43</v>
      </c>
      <c r="L168" s="8" t="s">
        <v>27</v>
      </c>
      <c r="M168" s="8" t="s">
        <v>23</v>
      </c>
      <c r="N168" s="8">
        <v>52</v>
      </c>
      <c r="O168" s="8" t="s">
        <v>24</v>
      </c>
      <c r="P168" s="8" t="str">
        <f t="shared" si="4"/>
        <v>Valid</v>
      </c>
      <c r="Q168" s="8" t="str">
        <f t="shared" si="5"/>
        <v>Valid</v>
      </c>
    </row>
    <row r="169" spans="1:17" ht="13.8">
      <c r="A169" s="8" t="s">
        <v>213</v>
      </c>
      <c r="B169" s="8" t="s">
        <v>26</v>
      </c>
      <c r="C169" s="8" t="s">
        <v>27</v>
      </c>
      <c r="D169" s="7">
        <v>45771</v>
      </c>
      <c r="E169" s="7">
        <v>45881</v>
      </c>
      <c r="F169" s="8">
        <v>0</v>
      </c>
      <c r="G169" s="8" t="s">
        <v>18</v>
      </c>
      <c r="H169" s="8" t="s">
        <v>19</v>
      </c>
      <c r="I169" s="8" t="s">
        <v>546</v>
      </c>
      <c r="J169" s="8" t="s">
        <v>20</v>
      </c>
      <c r="K169" s="8" t="s">
        <v>31</v>
      </c>
      <c r="L169" s="8" t="s">
        <v>22</v>
      </c>
      <c r="M169" s="8" t="s">
        <v>45</v>
      </c>
      <c r="N169" s="8">
        <v>92</v>
      </c>
      <c r="O169" s="8" t="s">
        <v>24</v>
      </c>
      <c r="P169" s="8" t="str">
        <f t="shared" si="4"/>
        <v>Valid</v>
      </c>
      <c r="Q169" s="8" t="str">
        <f t="shared" si="5"/>
        <v>Valid</v>
      </c>
    </row>
    <row r="170" spans="1:17" ht="13.8">
      <c r="A170" s="8" t="s">
        <v>214</v>
      </c>
      <c r="B170" s="8" t="s">
        <v>38</v>
      </c>
      <c r="C170" s="8" t="s">
        <v>17</v>
      </c>
      <c r="D170" s="7">
        <v>45708</v>
      </c>
      <c r="E170" s="7">
        <v>45689</v>
      </c>
      <c r="F170" s="8">
        <v>4310</v>
      </c>
      <c r="G170" s="8" t="s">
        <v>34</v>
      </c>
      <c r="H170" s="8" t="s">
        <v>49</v>
      </c>
      <c r="I170" s="7">
        <v>45691</v>
      </c>
      <c r="J170" s="8" t="s">
        <v>20</v>
      </c>
      <c r="K170" s="8" t="s">
        <v>21</v>
      </c>
      <c r="L170" s="8" t="s">
        <v>547</v>
      </c>
      <c r="M170" s="8" t="s">
        <v>32</v>
      </c>
      <c r="N170" s="8">
        <v>40</v>
      </c>
      <c r="O170" s="8" t="s">
        <v>24</v>
      </c>
      <c r="P170" s="8" t="str">
        <f t="shared" si="4"/>
        <v>not valid</v>
      </c>
      <c r="Q170" s="8" t="str">
        <f t="shared" si="5"/>
        <v>Not valid</v>
      </c>
    </row>
    <row r="171" spans="1:17" ht="13.8">
      <c r="A171" s="8" t="s">
        <v>215</v>
      </c>
      <c r="B171" s="8" t="s">
        <v>26</v>
      </c>
      <c r="C171" s="8" t="s">
        <v>39</v>
      </c>
      <c r="D171" s="7">
        <v>45813</v>
      </c>
      <c r="E171" s="7">
        <v>45813</v>
      </c>
      <c r="F171" s="8">
        <v>0</v>
      </c>
      <c r="G171" s="8" t="s">
        <v>28</v>
      </c>
      <c r="H171" s="8" t="s">
        <v>19</v>
      </c>
      <c r="I171" s="8" t="s">
        <v>546</v>
      </c>
      <c r="J171" s="8" t="s">
        <v>20</v>
      </c>
      <c r="K171" s="8" t="s">
        <v>31</v>
      </c>
      <c r="L171" s="8" t="s">
        <v>22</v>
      </c>
      <c r="M171" s="8" t="s">
        <v>23</v>
      </c>
      <c r="N171" s="8">
        <v>92</v>
      </c>
      <c r="O171" s="8" t="s">
        <v>24</v>
      </c>
      <c r="P171" s="8" t="str">
        <f t="shared" si="4"/>
        <v>Valid</v>
      </c>
      <c r="Q171" s="8" t="str">
        <f t="shared" si="5"/>
        <v>Valid</v>
      </c>
    </row>
    <row r="172" spans="1:17" ht="13.8">
      <c r="A172" s="8" t="s">
        <v>216</v>
      </c>
      <c r="B172" s="8" t="s">
        <v>51</v>
      </c>
      <c r="C172" s="8" t="s">
        <v>17</v>
      </c>
      <c r="D172" s="7">
        <v>45671</v>
      </c>
      <c r="E172" s="7">
        <v>45837</v>
      </c>
      <c r="F172" s="8">
        <v>4411</v>
      </c>
      <c r="G172" s="8" t="s">
        <v>48</v>
      </c>
      <c r="H172" s="8" t="s">
        <v>35</v>
      </c>
      <c r="I172" s="7">
        <v>45876</v>
      </c>
      <c r="J172" s="8" t="s">
        <v>20</v>
      </c>
      <c r="K172" s="8" t="s">
        <v>31</v>
      </c>
      <c r="L172" s="8" t="s">
        <v>22</v>
      </c>
      <c r="M172" s="8" t="s">
        <v>36</v>
      </c>
      <c r="N172" s="8">
        <v>79</v>
      </c>
      <c r="O172" s="8" t="s">
        <v>46</v>
      </c>
      <c r="P172" s="8" t="str">
        <f t="shared" si="4"/>
        <v>Valid</v>
      </c>
      <c r="Q172" s="8" t="str">
        <f t="shared" si="5"/>
        <v>Valid</v>
      </c>
    </row>
    <row r="173" spans="1:17" ht="13.8">
      <c r="A173" s="8" t="s">
        <v>217</v>
      </c>
      <c r="B173" s="8" t="s">
        <v>16</v>
      </c>
      <c r="C173" s="8" t="s">
        <v>27</v>
      </c>
      <c r="D173" s="7">
        <v>45775</v>
      </c>
      <c r="E173" s="9">
        <v>45943</v>
      </c>
      <c r="F173" s="8">
        <v>0</v>
      </c>
      <c r="G173" s="8" t="s">
        <v>34</v>
      </c>
      <c r="H173" s="8" t="s">
        <v>29</v>
      </c>
      <c r="I173" s="8" t="s">
        <v>546</v>
      </c>
      <c r="J173" s="8" t="s">
        <v>30</v>
      </c>
      <c r="K173" s="8" t="s">
        <v>40</v>
      </c>
      <c r="L173" s="8" t="s">
        <v>41</v>
      </c>
      <c r="M173" s="8" t="s">
        <v>23</v>
      </c>
      <c r="N173" s="8">
        <v>44</v>
      </c>
      <c r="O173" s="8" t="s">
        <v>46</v>
      </c>
      <c r="P173" s="8" t="str">
        <f t="shared" si="4"/>
        <v>Valid</v>
      </c>
      <c r="Q173" s="8" t="str">
        <f t="shared" si="5"/>
        <v>Valid</v>
      </c>
    </row>
    <row r="174" spans="1:17" ht="13.8">
      <c r="A174" s="8" t="s">
        <v>218</v>
      </c>
      <c r="B174" s="8" t="s">
        <v>38</v>
      </c>
      <c r="C174" s="8" t="s">
        <v>39</v>
      </c>
      <c r="D174" s="9">
        <v>45942</v>
      </c>
      <c r="E174" s="9">
        <v>45942</v>
      </c>
      <c r="F174" s="8">
        <v>0</v>
      </c>
      <c r="G174" s="8" t="s">
        <v>18</v>
      </c>
      <c r="H174" s="8" t="s">
        <v>19</v>
      </c>
      <c r="I174" s="8" t="s">
        <v>546</v>
      </c>
      <c r="J174" s="8" t="s">
        <v>30</v>
      </c>
      <c r="K174" s="8" t="s">
        <v>43</v>
      </c>
      <c r="L174" s="8" t="s">
        <v>22</v>
      </c>
      <c r="M174" s="8" t="s">
        <v>45</v>
      </c>
      <c r="N174" s="8">
        <v>53</v>
      </c>
      <c r="O174" s="8" t="s">
        <v>24</v>
      </c>
      <c r="P174" s="8" t="str">
        <f t="shared" si="4"/>
        <v>Valid</v>
      </c>
      <c r="Q174" s="8" t="str">
        <f t="shared" si="5"/>
        <v>Valid</v>
      </c>
    </row>
    <row r="175" spans="1:17" ht="13.8">
      <c r="A175" s="8" t="s">
        <v>219</v>
      </c>
      <c r="B175" s="8" t="s">
        <v>51</v>
      </c>
      <c r="C175" s="8" t="s">
        <v>17</v>
      </c>
      <c r="D175" s="7">
        <v>45872</v>
      </c>
      <c r="E175" s="7">
        <v>45830</v>
      </c>
      <c r="F175" s="8">
        <v>2033</v>
      </c>
      <c r="G175" s="8" t="s">
        <v>18</v>
      </c>
      <c r="H175" s="8" t="s">
        <v>35</v>
      </c>
      <c r="I175" s="7">
        <v>45920</v>
      </c>
      <c r="J175" s="8" t="s">
        <v>30</v>
      </c>
      <c r="K175" s="8" t="s">
        <v>31</v>
      </c>
      <c r="L175" s="8" t="s">
        <v>27</v>
      </c>
      <c r="M175" s="8" t="s">
        <v>23</v>
      </c>
      <c r="N175" s="8">
        <v>31</v>
      </c>
      <c r="O175" s="8" t="s">
        <v>52</v>
      </c>
      <c r="P175" s="8" t="str">
        <f t="shared" si="4"/>
        <v>not valid</v>
      </c>
      <c r="Q175" s="8" t="str">
        <f t="shared" si="5"/>
        <v>Valid</v>
      </c>
    </row>
    <row r="176" spans="1:17" ht="13.8">
      <c r="A176" s="8" t="s">
        <v>220</v>
      </c>
      <c r="B176" s="8" t="s">
        <v>26</v>
      </c>
      <c r="C176" s="8" t="s">
        <v>27</v>
      </c>
      <c r="D176" s="7">
        <v>45821</v>
      </c>
      <c r="E176" s="7">
        <v>45828</v>
      </c>
      <c r="F176" s="8">
        <v>0</v>
      </c>
      <c r="G176" s="8" t="s">
        <v>28</v>
      </c>
      <c r="H176" s="8" t="s">
        <v>49</v>
      </c>
      <c r="I176" s="8" t="s">
        <v>546</v>
      </c>
      <c r="J176" s="8" t="s">
        <v>30</v>
      </c>
      <c r="K176" s="8" t="s">
        <v>21</v>
      </c>
      <c r="L176" s="8" t="s">
        <v>41</v>
      </c>
      <c r="M176" s="8" t="s">
        <v>45</v>
      </c>
      <c r="N176" s="8">
        <v>30</v>
      </c>
      <c r="O176" s="8" t="s">
        <v>46</v>
      </c>
      <c r="P176" s="8" t="str">
        <f t="shared" si="4"/>
        <v>Valid</v>
      </c>
      <c r="Q176" s="8" t="str">
        <f t="shared" si="5"/>
        <v>Valid</v>
      </c>
    </row>
    <row r="177" spans="1:17" ht="13.8">
      <c r="A177" s="8" t="s">
        <v>221</v>
      </c>
      <c r="B177" s="8" t="s">
        <v>26</v>
      </c>
      <c r="C177" s="8" t="s">
        <v>39</v>
      </c>
      <c r="D177" s="7">
        <v>45740</v>
      </c>
      <c r="E177" s="7">
        <v>45740</v>
      </c>
      <c r="F177" s="8">
        <v>0</v>
      </c>
      <c r="G177" s="8" t="s">
        <v>34</v>
      </c>
      <c r="H177" s="8" t="s">
        <v>19</v>
      </c>
      <c r="I177" s="8" t="s">
        <v>546</v>
      </c>
      <c r="J177" s="8" t="s">
        <v>30</v>
      </c>
      <c r="K177" s="8" t="s">
        <v>40</v>
      </c>
      <c r="L177" s="8" t="s">
        <v>22</v>
      </c>
      <c r="M177" s="8" t="s">
        <v>45</v>
      </c>
      <c r="N177" s="8">
        <v>68</v>
      </c>
      <c r="O177" s="8" t="s">
        <v>24</v>
      </c>
      <c r="P177" s="8" t="str">
        <f t="shared" si="4"/>
        <v>Valid</v>
      </c>
      <c r="Q177" s="8" t="str">
        <f t="shared" si="5"/>
        <v>Valid</v>
      </c>
    </row>
    <row r="178" spans="1:17" ht="13.8">
      <c r="A178" s="8" t="s">
        <v>222</v>
      </c>
      <c r="B178" s="8" t="s">
        <v>26</v>
      </c>
      <c r="C178" s="8" t="s">
        <v>27</v>
      </c>
      <c r="D178" s="7">
        <v>45916</v>
      </c>
      <c r="E178" s="7">
        <v>45815</v>
      </c>
      <c r="F178" s="8">
        <v>0</v>
      </c>
      <c r="G178" s="8" t="s">
        <v>28</v>
      </c>
      <c r="H178" s="8" t="s">
        <v>19</v>
      </c>
      <c r="I178" s="8" t="s">
        <v>546</v>
      </c>
      <c r="J178" s="8" t="s">
        <v>20</v>
      </c>
      <c r="K178" s="8" t="s">
        <v>31</v>
      </c>
      <c r="L178" s="8" t="s">
        <v>27</v>
      </c>
      <c r="M178" s="8" t="s">
        <v>36</v>
      </c>
      <c r="N178" s="8">
        <v>77</v>
      </c>
      <c r="O178" s="8" t="s">
        <v>24</v>
      </c>
      <c r="P178" s="8" t="str">
        <f t="shared" si="4"/>
        <v>not valid</v>
      </c>
      <c r="Q178" s="8" t="str">
        <f t="shared" si="5"/>
        <v>Valid</v>
      </c>
    </row>
    <row r="179" spans="1:17" ht="13.8">
      <c r="A179" s="8" t="s">
        <v>223</v>
      </c>
      <c r="B179" s="8" t="s">
        <v>16</v>
      </c>
      <c r="C179" s="8" t="s">
        <v>27</v>
      </c>
      <c r="D179" s="7">
        <v>45853</v>
      </c>
      <c r="E179" s="7">
        <v>45916</v>
      </c>
      <c r="F179" s="8">
        <v>0</v>
      </c>
      <c r="G179" s="8" t="s">
        <v>48</v>
      </c>
      <c r="H179" s="8" t="s">
        <v>29</v>
      </c>
      <c r="I179" s="8" t="s">
        <v>546</v>
      </c>
      <c r="J179" s="8" t="s">
        <v>30</v>
      </c>
      <c r="K179" s="8" t="s">
        <v>21</v>
      </c>
      <c r="L179" s="8" t="s">
        <v>22</v>
      </c>
      <c r="M179" s="8" t="s">
        <v>23</v>
      </c>
      <c r="N179" s="8">
        <v>83</v>
      </c>
      <c r="O179" s="8" t="s">
        <v>24</v>
      </c>
      <c r="P179" s="8" t="str">
        <f t="shared" si="4"/>
        <v>Valid</v>
      </c>
      <c r="Q179" s="8" t="str">
        <f t="shared" si="5"/>
        <v>Valid</v>
      </c>
    </row>
    <row r="180" spans="1:17" ht="13.8">
      <c r="A180" s="8" t="s">
        <v>224</v>
      </c>
      <c r="B180" s="8" t="s">
        <v>26</v>
      </c>
      <c r="C180" s="8" t="s">
        <v>27</v>
      </c>
      <c r="D180" s="7">
        <v>45737</v>
      </c>
      <c r="E180" s="7">
        <v>45675</v>
      </c>
      <c r="F180" s="8">
        <v>0</v>
      </c>
      <c r="G180" s="8" t="s">
        <v>18</v>
      </c>
      <c r="H180" s="8" t="s">
        <v>19</v>
      </c>
      <c r="I180" s="8" t="s">
        <v>546</v>
      </c>
      <c r="J180" s="8" t="s">
        <v>20</v>
      </c>
      <c r="K180" s="8" t="s">
        <v>43</v>
      </c>
      <c r="L180" s="8" t="s">
        <v>22</v>
      </c>
      <c r="M180" s="8" t="s">
        <v>45</v>
      </c>
      <c r="N180" s="8">
        <v>64</v>
      </c>
      <c r="O180" s="8" t="s">
        <v>52</v>
      </c>
      <c r="P180" s="8" t="str">
        <f t="shared" si="4"/>
        <v>not valid</v>
      </c>
      <c r="Q180" s="8" t="str">
        <f t="shared" si="5"/>
        <v>Valid</v>
      </c>
    </row>
    <row r="181" spans="1:17" ht="13.8">
      <c r="A181" s="8" t="s">
        <v>225</v>
      </c>
      <c r="B181" s="8" t="s">
        <v>26</v>
      </c>
      <c r="C181" s="8" t="s">
        <v>27</v>
      </c>
      <c r="D181" s="7">
        <v>45715</v>
      </c>
      <c r="E181" s="7">
        <v>45662</v>
      </c>
      <c r="F181" s="8">
        <v>0</v>
      </c>
      <c r="G181" s="8" t="s">
        <v>34</v>
      </c>
      <c r="H181" s="8" t="s">
        <v>49</v>
      </c>
      <c r="I181" s="8" t="s">
        <v>546</v>
      </c>
      <c r="J181" s="8" t="s">
        <v>30</v>
      </c>
      <c r="K181" s="8" t="s">
        <v>21</v>
      </c>
      <c r="L181" s="8" t="s">
        <v>22</v>
      </c>
      <c r="M181" s="8" t="s">
        <v>23</v>
      </c>
      <c r="N181" s="8">
        <v>81</v>
      </c>
      <c r="O181" s="8" t="s">
        <v>52</v>
      </c>
      <c r="P181" s="8" t="str">
        <f t="shared" si="4"/>
        <v>not valid</v>
      </c>
      <c r="Q181" s="8" t="str">
        <f t="shared" si="5"/>
        <v>Valid</v>
      </c>
    </row>
    <row r="182" spans="1:17" ht="13.8">
      <c r="A182" s="8" t="s">
        <v>226</v>
      </c>
      <c r="B182" s="8" t="s">
        <v>26</v>
      </c>
      <c r="C182" s="8" t="s">
        <v>17</v>
      </c>
      <c r="D182" s="7">
        <v>45919</v>
      </c>
      <c r="E182" s="7">
        <v>45765</v>
      </c>
      <c r="F182" s="8">
        <v>4957</v>
      </c>
      <c r="G182" s="8" t="s">
        <v>34</v>
      </c>
      <c r="H182" s="8" t="s">
        <v>35</v>
      </c>
      <c r="I182" s="7">
        <v>45870</v>
      </c>
      <c r="J182" s="8" t="s">
        <v>20</v>
      </c>
      <c r="K182" s="8" t="s">
        <v>43</v>
      </c>
      <c r="L182" s="8" t="s">
        <v>548</v>
      </c>
      <c r="M182" s="8" t="s">
        <v>23</v>
      </c>
      <c r="N182" s="8">
        <v>57</v>
      </c>
      <c r="O182" s="8" t="s">
        <v>24</v>
      </c>
      <c r="P182" s="8" t="str">
        <f t="shared" si="4"/>
        <v>not valid</v>
      </c>
      <c r="Q182" s="8" t="str">
        <f t="shared" si="5"/>
        <v>Not valid</v>
      </c>
    </row>
    <row r="183" spans="1:17" ht="13.8">
      <c r="A183" s="8" t="s">
        <v>227</v>
      </c>
      <c r="B183" s="8" t="s">
        <v>38</v>
      </c>
      <c r="C183" s="8" t="s">
        <v>27</v>
      </c>
      <c r="D183" s="7">
        <v>45727</v>
      </c>
      <c r="E183" s="7">
        <v>45863</v>
      </c>
      <c r="F183" s="8">
        <v>0</v>
      </c>
      <c r="G183" s="8" t="s">
        <v>28</v>
      </c>
      <c r="H183" s="8" t="s">
        <v>35</v>
      </c>
      <c r="I183" s="8" t="s">
        <v>546</v>
      </c>
      <c r="J183" s="8" t="s">
        <v>30</v>
      </c>
      <c r="K183" s="8" t="s">
        <v>43</v>
      </c>
      <c r="L183" s="8" t="s">
        <v>41</v>
      </c>
      <c r="M183" s="8" t="s">
        <v>36</v>
      </c>
      <c r="N183" s="8">
        <v>83</v>
      </c>
      <c r="O183" s="8" t="s">
        <v>46</v>
      </c>
      <c r="P183" s="8" t="str">
        <f t="shared" si="4"/>
        <v>Valid</v>
      </c>
      <c r="Q183" s="8" t="str">
        <f t="shared" si="5"/>
        <v>Valid</v>
      </c>
    </row>
    <row r="184" spans="1:17" ht="13.8">
      <c r="A184" s="8" t="s">
        <v>228</v>
      </c>
      <c r="B184" s="8" t="s">
        <v>51</v>
      </c>
      <c r="C184" s="8" t="s">
        <v>17</v>
      </c>
      <c r="D184" s="7">
        <v>45676</v>
      </c>
      <c r="E184" s="7">
        <v>45754</v>
      </c>
      <c r="F184" s="8">
        <v>4365</v>
      </c>
      <c r="G184" s="8" t="s">
        <v>28</v>
      </c>
      <c r="H184" s="8" t="s">
        <v>29</v>
      </c>
      <c r="I184" s="7">
        <v>45702</v>
      </c>
      <c r="J184" s="8" t="s">
        <v>30</v>
      </c>
      <c r="K184" s="8" t="s">
        <v>43</v>
      </c>
      <c r="L184" s="8" t="s">
        <v>27</v>
      </c>
      <c r="M184" s="8" t="s">
        <v>32</v>
      </c>
      <c r="N184" s="8">
        <v>57</v>
      </c>
      <c r="O184" s="8" t="s">
        <v>52</v>
      </c>
      <c r="P184" s="8" t="str">
        <f t="shared" si="4"/>
        <v>Valid</v>
      </c>
      <c r="Q184" s="8" t="str">
        <f t="shared" si="5"/>
        <v>Valid</v>
      </c>
    </row>
    <row r="185" spans="1:17" ht="13.8">
      <c r="A185" s="8" t="s">
        <v>229</v>
      </c>
      <c r="B185" s="8" t="s">
        <v>26</v>
      </c>
      <c r="C185" s="8" t="s">
        <v>39</v>
      </c>
      <c r="D185" s="7">
        <v>45852</v>
      </c>
      <c r="E185" s="7">
        <v>45852</v>
      </c>
      <c r="F185" s="8">
        <v>0</v>
      </c>
      <c r="G185" s="8" t="s">
        <v>48</v>
      </c>
      <c r="H185" s="8" t="s">
        <v>35</v>
      </c>
      <c r="I185" s="8" t="s">
        <v>546</v>
      </c>
      <c r="J185" s="8" t="s">
        <v>30</v>
      </c>
      <c r="K185" s="8" t="s">
        <v>21</v>
      </c>
      <c r="L185" s="8" t="s">
        <v>27</v>
      </c>
      <c r="M185" s="8" t="s">
        <v>36</v>
      </c>
      <c r="N185" s="8">
        <v>94</v>
      </c>
      <c r="O185" s="8" t="s">
        <v>52</v>
      </c>
      <c r="P185" s="8" t="str">
        <f t="shared" si="4"/>
        <v>Valid</v>
      </c>
      <c r="Q185" s="8" t="str">
        <f t="shared" si="5"/>
        <v>Valid</v>
      </c>
    </row>
    <row r="186" spans="1:17" ht="13.8">
      <c r="A186" s="8" t="s">
        <v>230</v>
      </c>
      <c r="B186" s="8" t="s">
        <v>38</v>
      </c>
      <c r="C186" s="8" t="s">
        <v>17</v>
      </c>
      <c r="D186" s="7">
        <v>45909</v>
      </c>
      <c r="E186" s="7">
        <v>45708</v>
      </c>
      <c r="F186" s="8">
        <v>2258</v>
      </c>
      <c r="G186" s="8" t="s">
        <v>34</v>
      </c>
      <c r="H186" s="8" t="s">
        <v>49</v>
      </c>
      <c r="I186" s="7">
        <v>45791</v>
      </c>
      <c r="J186" s="8" t="s">
        <v>30</v>
      </c>
      <c r="K186" s="8" t="s">
        <v>43</v>
      </c>
      <c r="L186" s="8" t="s">
        <v>548</v>
      </c>
      <c r="M186" s="8" t="s">
        <v>23</v>
      </c>
      <c r="N186" s="8">
        <v>84</v>
      </c>
      <c r="O186" s="8" t="s">
        <v>24</v>
      </c>
      <c r="P186" s="8" t="str">
        <f t="shared" si="4"/>
        <v>not valid</v>
      </c>
      <c r="Q186" s="8" t="str">
        <f t="shared" si="5"/>
        <v>Not valid</v>
      </c>
    </row>
    <row r="187" spans="1:17" ht="13.8">
      <c r="A187" s="8" t="s">
        <v>231</v>
      </c>
      <c r="B187" s="8" t="s">
        <v>38</v>
      </c>
      <c r="C187" s="8" t="s">
        <v>17</v>
      </c>
      <c r="D187" s="7">
        <v>45720</v>
      </c>
      <c r="E187" s="7">
        <v>45727</v>
      </c>
      <c r="F187" s="8">
        <v>4589</v>
      </c>
      <c r="G187" s="8" t="s">
        <v>28</v>
      </c>
      <c r="H187" s="8" t="s">
        <v>49</v>
      </c>
      <c r="I187" s="7">
        <v>45805</v>
      </c>
      <c r="J187" s="8" t="s">
        <v>30</v>
      </c>
      <c r="K187" s="8" t="s">
        <v>31</v>
      </c>
      <c r="L187" s="8" t="s">
        <v>548</v>
      </c>
      <c r="M187" s="8" t="s">
        <v>36</v>
      </c>
      <c r="N187" s="8">
        <v>50</v>
      </c>
      <c r="O187" s="8" t="s">
        <v>46</v>
      </c>
      <c r="P187" s="8" t="str">
        <f t="shared" si="4"/>
        <v>Valid</v>
      </c>
      <c r="Q187" s="8" t="str">
        <f t="shared" si="5"/>
        <v>Valid</v>
      </c>
    </row>
    <row r="188" spans="1:17" ht="13.8">
      <c r="A188" s="8" t="s">
        <v>232</v>
      </c>
      <c r="B188" s="8" t="s">
        <v>51</v>
      </c>
      <c r="C188" s="8" t="s">
        <v>39</v>
      </c>
      <c r="D188" s="7">
        <v>45815</v>
      </c>
      <c r="E188" s="7">
        <v>45815</v>
      </c>
      <c r="F188" s="8">
        <v>0</v>
      </c>
      <c r="G188" s="8" t="s">
        <v>34</v>
      </c>
      <c r="H188" s="8" t="s">
        <v>49</v>
      </c>
      <c r="I188" s="8" t="s">
        <v>546</v>
      </c>
      <c r="J188" s="8" t="s">
        <v>30</v>
      </c>
      <c r="K188" s="8" t="s">
        <v>21</v>
      </c>
      <c r="L188" s="8" t="s">
        <v>44</v>
      </c>
      <c r="M188" s="8" t="s">
        <v>36</v>
      </c>
      <c r="N188" s="8">
        <v>95</v>
      </c>
      <c r="O188" s="8" t="s">
        <v>52</v>
      </c>
      <c r="P188" s="8" t="str">
        <f t="shared" si="4"/>
        <v>Valid</v>
      </c>
      <c r="Q188" s="8" t="str">
        <f t="shared" si="5"/>
        <v>Valid</v>
      </c>
    </row>
    <row r="189" spans="1:17" ht="13.8">
      <c r="A189" s="8" t="s">
        <v>233</v>
      </c>
      <c r="B189" s="8" t="s">
        <v>38</v>
      </c>
      <c r="C189" s="8" t="s">
        <v>17</v>
      </c>
      <c r="D189" s="7">
        <v>45808</v>
      </c>
      <c r="E189" s="7">
        <v>45694</v>
      </c>
      <c r="F189" s="8">
        <v>2184</v>
      </c>
      <c r="G189" s="8" t="s">
        <v>48</v>
      </c>
      <c r="H189" s="8" t="s">
        <v>49</v>
      </c>
      <c r="I189" s="7">
        <v>45901</v>
      </c>
      <c r="J189" s="8" t="s">
        <v>30</v>
      </c>
      <c r="K189" s="8" t="s">
        <v>43</v>
      </c>
      <c r="L189" s="8" t="s">
        <v>22</v>
      </c>
      <c r="M189" s="8" t="s">
        <v>36</v>
      </c>
      <c r="N189" s="8">
        <v>82</v>
      </c>
      <c r="O189" s="8" t="s">
        <v>52</v>
      </c>
      <c r="P189" s="8" t="str">
        <f t="shared" si="4"/>
        <v>not valid</v>
      </c>
      <c r="Q189" s="8" t="str">
        <f t="shared" si="5"/>
        <v>Valid</v>
      </c>
    </row>
    <row r="190" spans="1:17" ht="13.8">
      <c r="A190" s="8" t="s">
        <v>234</v>
      </c>
      <c r="B190" s="8" t="s">
        <v>16</v>
      </c>
      <c r="C190" s="8" t="s">
        <v>27</v>
      </c>
      <c r="D190" s="7">
        <v>45704</v>
      </c>
      <c r="E190" s="7">
        <v>45872</v>
      </c>
      <c r="F190" s="8">
        <v>0</v>
      </c>
      <c r="G190" s="8" t="s">
        <v>18</v>
      </c>
      <c r="H190" s="8" t="s">
        <v>49</v>
      </c>
      <c r="I190" s="8" t="s">
        <v>546</v>
      </c>
      <c r="J190" s="8" t="s">
        <v>20</v>
      </c>
      <c r="K190" s="8" t="s">
        <v>43</v>
      </c>
      <c r="L190" s="8" t="s">
        <v>44</v>
      </c>
      <c r="M190" s="8" t="s">
        <v>45</v>
      </c>
      <c r="N190" s="8">
        <v>32</v>
      </c>
      <c r="O190" s="8" t="s">
        <v>24</v>
      </c>
      <c r="P190" s="8" t="str">
        <f t="shared" si="4"/>
        <v>Valid</v>
      </c>
      <c r="Q190" s="8" t="str">
        <f t="shared" si="5"/>
        <v>Valid</v>
      </c>
    </row>
    <row r="191" spans="1:17" ht="13.8">
      <c r="A191" s="8" t="s">
        <v>235</v>
      </c>
      <c r="B191" s="8" t="s">
        <v>38</v>
      </c>
      <c r="C191" s="8" t="s">
        <v>39</v>
      </c>
      <c r="D191" s="7">
        <v>45690</v>
      </c>
      <c r="E191" s="7">
        <v>45690</v>
      </c>
      <c r="F191" s="8">
        <v>0</v>
      </c>
      <c r="G191" s="8" t="s">
        <v>18</v>
      </c>
      <c r="H191" s="8" t="s">
        <v>49</v>
      </c>
      <c r="I191" s="8" t="s">
        <v>546</v>
      </c>
      <c r="J191" s="8" t="s">
        <v>30</v>
      </c>
      <c r="K191" s="8" t="s">
        <v>40</v>
      </c>
      <c r="L191" s="8" t="s">
        <v>41</v>
      </c>
      <c r="M191" s="8" t="s">
        <v>32</v>
      </c>
      <c r="N191" s="8">
        <v>56</v>
      </c>
      <c r="O191" s="8" t="s">
        <v>46</v>
      </c>
      <c r="P191" s="8" t="str">
        <f t="shared" si="4"/>
        <v>Valid</v>
      </c>
      <c r="Q191" s="8" t="str">
        <f t="shared" si="5"/>
        <v>Valid</v>
      </c>
    </row>
    <row r="192" spans="1:17" ht="13.8">
      <c r="A192" s="8" t="s">
        <v>236</v>
      </c>
      <c r="B192" s="8" t="s">
        <v>26</v>
      </c>
      <c r="C192" s="8" t="s">
        <v>17</v>
      </c>
      <c r="D192" s="7">
        <v>45847</v>
      </c>
      <c r="E192" s="7">
        <v>45708</v>
      </c>
      <c r="F192" s="8">
        <v>2707</v>
      </c>
      <c r="G192" s="8" t="s">
        <v>48</v>
      </c>
      <c r="H192" s="8" t="s">
        <v>35</v>
      </c>
      <c r="I192" s="7">
        <v>45708</v>
      </c>
      <c r="J192" s="8" t="s">
        <v>20</v>
      </c>
      <c r="K192" s="8" t="s">
        <v>40</v>
      </c>
      <c r="L192" s="8" t="s">
        <v>22</v>
      </c>
      <c r="M192" s="8" t="s">
        <v>45</v>
      </c>
      <c r="N192" s="8">
        <v>72</v>
      </c>
      <c r="O192" s="8" t="s">
        <v>46</v>
      </c>
      <c r="P192" s="8" t="str">
        <f t="shared" si="4"/>
        <v>not valid</v>
      </c>
      <c r="Q192" s="8" t="str">
        <f t="shared" si="5"/>
        <v>Not valid</v>
      </c>
    </row>
    <row r="193" spans="1:17" ht="13.8">
      <c r="A193" s="8" t="s">
        <v>237</v>
      </c>
      <c r="B193" s="8" t="s">
        <v>26</v>
      </c>
      <c r="C193" s="8" t="s">
        <v>27</v>
      </c>
      <c r="D193" s="7">
        <v>45792</v>
      </c>
      <c r="E193" s="7">
        <v>45691</v>
      </c>
      <c r="F193" s="8">
        <v>0</v>
      </c>
      <c r="G193" s="8" t="s">
        <v>18</v>
      </c>
      <c r="H193" s="8" t="s">
        <v>29</v>
      </c>
      <c r="I193" s="8" t="s">
        <v>546</v>
      </c>
      <c r="J193" s="8" t="s">
        <v>30</v>
      </c>
      <c r="K193" s="8" t="s">
        <v>43</v>
      </c>
      <c r="L193" s="8" t="s">
        <v>22</v>
      </c>
      <c r="M193" s="8" t="s">
        <v>32</v>
      </c>
      <c r="N193" s="8">
        <v>43</v>
      </c>
      <c r="O193" s="8" t="s">
        <v>24</v>
      </c>
      <c r="P193" s="8" t="str">
        <f t="shared" si="4"/>
        <v>not valid</v>
      </c>
      <c r="Q193" s="8" t="str">
        <f t="shared" si="5"/>
        <v>Valid</v>
      </c>
    </row>
    <row r="194" spans="1:17" ht="13.8">
      <c r="A194" s="8" t="s">
        <v>238</v>
      </c>
      <c r="B194" s="8" t="s">
        <v>51</v>
      </c>
      <c r="C194" s="8" t="s">
        <v>27</v>
      </c>
      <c r="D194" s="7">
        <v>45679</v>
      </c>
      <c r="E194" s="7">
        <v>45659</v>
      </c>
      <c r="F194" s="8">
        <v>0</v>
      </c>
      <c r="G194" s="8" t="s">
        <v>34</v>
      </c>
      <c r="H194" s="8" t="s">
        <v>35</v>
      </c>
      <c r="I194" s="8" t="s">
        <v>546</v>
      </c>
      <c r="J194" s="8" t="s">
        <v>20</v>
      </c>
      <c r="K194" s="8" t="s">
        <v>31</v>
      </c>
      <c r="L194" s="8" t="s">
        <v>22</v>
      </c>
      <c r="M194" s="8" t="s">
        <v>32</v>
      </c>
      <c r="N194" s="8">
        <v>48</v>
      </c>
      <c r="O194" s="8" t="s">
        <v>52</v>
      </c>
      <c r="P194" s="8" t="str">
        <f t="shared" ref="P194:P257" si="6">IF(OR(D194&lt;E194,D194=E194), "Valid","not valid")</f>
        <v>not valid</v>
      </c>
      <c r="Q194" s="8" t="str">
        <f t="shared" ref="Q194:Q257" si="7">IF(OR(D194 &lt;I194,D194=I194),"Valid","Not valid")</f>
        <v>Valid</v>
      </c>
    </row>
    <row r="195" spans="1:17" ht="13.8">
      <c r="A195" s="8" t="s">
        <v>239</v>
      </c>
      <c r="B195" s="8" t="s">
        <v>26</v>
      </c>
      <c r="C195" s="8" t="s">
        <v>27</v>
      </c>
      <c r="D195" s="7">
        <v>45848</v>
      </c>
      <c r="E195" s="7">
        <v>45937</v>
      </c>
      <c r="F195" s="8">
        <v>0</v>
      </c>
      <c r="G195" s="8" t="s">
        <v>18</v>
      </c>
      <c r="H195" s="8" t="s">
        <v>35</v>
      </c>
      <c r="I195" s="8" t="s">
        <v>546</v>
      </c>
      <c r="J195" s="8" t="s">
        <v>20</v>
      </c>
      <c r="K195" s="8" t="s">
        <v>43</v>
      </c>
      <c r="L195" s="8" t="s">
        <v>41</v>
      </c>
      <c r="M195" s="8" t="s">
        <v>36</v>
      </c>
      <c r="N195" s="8">
        <v>43</v>
      </c>
      <c r="O195" s="8" t="s">
        <v>24</v>
      </c>
      <c r="P195" s="8" t="str">
        <f t="shared" si="6"/>
        <v>Valid</v>
      </c>
      <c r="Q195" s="8" t="str">
        <f t="shared" si="7"/>
        <v>Valid</v>
      </c>
    </row>
    <row r="196" spans="1:17" ht="13.8">
      <c r="A196" s="8" t="s">
        <v>240</v>
      </c>
      <c r="B196" s="8" t="s">
        <v>16</v>
      </c>
      <c r="C196" s="8" t="s">
        <v>39</v>
      </c>
      <c r="D196" s="7">
        <v>45724</v>
      </c>
      <c r="E196" s="7">
        <v>45724</v>
      </c>
      <c r="F196" s="8">
        <v>0</v>
      </c>
      <c r="G196" s="8" t="s">
        <v>48</v>
      </c>
      <c r="H196" s="8" t="s">
        <v>49</v>
      </c>
      <c r="I196" s="8" t="s">
        <v>546</v>
      </c>
      <c r="J196" s="8" t="s">
        <v>20</v>
      </c>
      <c r="K196" s="8" t="s">
        <v>31</v>
      </c>
      <c r="L196" s="8" t="s">
        <v>22</v>
      </c>
      <c r="M196" s="8" t="s">
        <v>32</v>
      </c>
      <c r="N196" s="8">
        <v>92</v>
      </c>
      <c r="O196" s="8" t="s">
        <v>24</v>
      </c>
      <c r="P196" s="8" t="str">
        <f t="shared" si="6"/>
        <v>Valid</v>
      </c>
      <c r="Q196" s="8" t="str">
        <f t="shared" si="7"/>
        <v>Valid</v>
      </c>
    </row>
    <row r="197" spans="1:17" ht="13.8">
      <c r="A197" s="8" t="s">
        <v>241</v>
      </c>
      <c r="B197" s="8" t="s">
        <v>51</v>
      </c>
      <c r="C197" s="8" t="s">
        <v>39</v>
      </c>
      <c r="D197" s="7">
        <v>45826</v>
      </c>
      <c r="E197" s="7">
        <v>45826</v>
      </c>
      <c r="F197" s="8">
        <v>0</v>
      </c>
      <c r="G197" s="8" t="s">
        <v>34</v>
      </c>
      <c r="H197" s="8" t="s">
        <v>29</v>
      </c>
      <c r="I197" s="8" t="s">
        <v>546</v>
      </c>
      <c r="J197" s="8" t="s">
        <v>30</v>
      </c>
      <c r="K197" s="8" t="s">
        <v>31</v>
      </c>
      <c r="L197" s="8" t="s">
        <v>44</v>
      </c>
      <c r="M197" s="8" t="s">
        <v>36</v>
      </c>
      <c r="N197" s="8">
        <v>49</v>
      </c>
      <c r="O197" s="8" t="s">
        <v>52</v>
      </c>
      <c r="P197" s="8" t="str">
        <f t="shared" si="6"/>
        <v>Valid</v>
      </c>
      <c r="Q197" s="8" t="str">
        <f t="shared" si="7"/>
        <v>Valid</v>
      </c>
    </row>
    <row r="198" spans="1:17" ht="13.8">
      <c r="A198" s="8" t="s">
        <v>242</v>
      </c>
      <c r="B198" s="8" t="s">
        <v>38</v>
      </c>
      <c r="C198" s="8" t="s">
        <v>17</v>
      </c>
      <c r="D198" s="7">
        <v>45853</v>
      </c>
      <c r="E198" s="7">
        <v>45659</v>
      </c>
      <c r="F198" s="8">
        <v>4898</v>
      </c>
      <c r="G198" s="8" t="s">
        <v>28</v>
      </c>
      <c r="H198" s="8" t="s">
        <v>29</v>
      </c>
      <c r="I198" s="7">
        <v>45674</v>
      </c>
      <c r="J198" s="8" t="s">
        <v>20</v>
      </c>
      <c r="K198" s="8" t="s">
        <v>31</v>
      </c>
      <c r="L198" s="8" t="s">
        <v>22</v>
      </c>
      <c r="M198" s="8" t="s">
        <v>23</v>
      </c>
      <c r="N198" s="8">
        <v>61</v>
      </c>
      <c r="O198" s="8" t="s">
        <v>52</v>
      </c>
      <c r="P198" s="8" t="str">
        <f t="shared" si="6"/>
        <v>not valid</v>
      </c>
      <c r="Q198" s="8" t="str">
        <f t="shared" si="7"/>
        <v>Not valid</v>
      </c>
    </row>
    <row r="199" spans="1:17" ht="13.8">
      <c r="A199" s="8" t="s">
        <v>243</v>
      </c>
      <c r="B199" s="8" t="s">
        <v>26</v>
      </c>
      <c r="C199" s="8" t="s">
        <v>17</v>
      </c>
      <c r="D199" s="7">
        <v>45683</v>
      </c>
      <c r="E199" s="7">
        <v>45663</v>
      </c>
      <c r="F199" s="8">
        <v>4574</v>
      </c>
      <c r="G199" s="8" t="s">
        <v>18</v>
      </c>
      <c r="H199" s="8" t="s">
        <v>35</v>
      </c>
      <c r="I199" s="7">
        <v>45730</v>
      </c>
      <c r="J199" s="8" t="s">
        <v>20</v>
      </c>
      <c r="K199" s="8" t="s">
        <v>21</v>
      </c>
      <c r="L199" s="8" t="s">
        <v>548</v>
      </c>
      <c r="M199" s="8" t="s">
        <v>23</v>
      </c>
      <c r="N199" s="8">
        <v>48</v>
      </c>
      <c r="O199" s="8" t="s">
        <v>52</v>
      </c>
      <c r="P199" s="8" t="str">
        <f t="shared" si="6"/>
        <v>not valid</v>
      </c>
      <c r="Q199" s="8" t="str">
        <f t="shared" si="7"/>
        <v>Valid</v>
      </c>
    </row>
    <row r="200" spans="1:17" ht="13.8">
      <c r="A200" s="8" t="s">
        <v>244</v>
      </c>
      <c r="B200" s="8" t="s">
        <v>38</v>
      </c>
      <c r="C200" s="8" t="s">
        <v>27</v>
      </c>
      <c r="D200" s="7">
        <v>45680</v>
      </c>
      <c r="E200" s="7">
        <v>45859</v>
      </c>
      <c r="F200" s="8">
        <v>0</v>
      </c>
      <c r="G200" s="8" t="s">
        <v>18</v>
      </c>
      <c r="H200" s="8" t="s">
        <v>19</v>
      </c>
      <c r="I200" s="8" t="s">
        <v>546</v>
      </c>
      <c r="J200" s="8" t="s">
        <v>20</v>
      </c>
      <c r="K200" s="8" t="s">
        <v>43</v>
      </c>
      <c r="L200" s="8" t="s">
        <v>44</v>
      </c>
      <c r="M200" s="8" t="s">
        <v>45</v>
      </c>
      <c r="N200" s="8">
        <v>85</v>
      </c>
      <c r="O200" s="8" t="s">
        <v>46</v>
      </c>
      <c r="P200" s="8" t="str">
        <f t="shared" si="6"/>
        <v>Valid</v>
      </c>
      <c r="Q200" s="8" t="str">
        <f t="shared" si="7"/>
        <v>Valid</v>
      </c>
    </row>
    <row r="201" spans="1:17" ht="13.8">
      <c r="A201" s="8" t="s">
        <v>245</v>
      </c>
      <c r="B201" s="8" t="s">
        <v>26</v>
      </c>
      <c r="C201" s="8" t="s">
        <v>17</v>
      </c>
      <c r="D201" s="7">
        <v>45796</v>
      </c>
      <c r="E201" s="7">
        <v>45781</v>
      </c>
      <c r="F201" s="8">
        <v>2879</v>
      </c>
      <c r="G201" s="8" t="s">
        <v>18</v>
      </c>
      <c r="H201" s="8" t="s">
        <v>29</v>
      </c>
      <c r="I201" s="7">
        <v>45822</v>
      </c>
      <c r="J201" s="8" t="s">
        <v>30</v>
      </c>
      <c r="K201" s="8" t="s">
        <v>21</v>
      </c>
      <c r="L201" s="8" t="s">
        <v>548</v>
      </c>
      <c r="M201" s="8" t="s">
        <v>45</v>
      </c>
      <c r="N201" s="8">
        <v>61</v>
      </c>
      <c r="O201" s="8" t="s">
        <v>52</v>
      </c>
      <c r="P201" s="8" t="str">
        <f t="shared" si="6"/>
        <v>not valid</v>
      </c>
      <c r="Q201" s="8" t="str">
        <f t="shared" si="7"/>
        <v>Valid</v>
      </c>
    </row>
    <row r="202" spans="1:17" ht="13.8">
      <c r="A202" s="8" t="s">
        <v>246</v>
      </c>
      <c r="B202" s="8" t="s">
        <v>26</v>
      </c>
      <c r="C202" s="8" t="s">
        <v>27</v>
      </c>
      <c r="D202" s="7">
        <v>45852</v>
      </c>
      <c r="E202" s="7">
        <v>45744</v>
      </c>
      <c r="F202" s="8">
        <v>0</v>
      </c>
      <c r="G202" s="8" t="s">
        <v>48</v>
      </c>
      <c r="H202" s="8" t="s">
        <v>19</v>
      </c>
      <c r="I202" s="8" t="s">
        <v>546</v>
      </c>
      <c r="J202" s="8" t="s">
        <v>20</v>
      </c>
      <c r="K202" s="8" t="s">
        <v>43</v>
      </c>
      <c r="L202" s="8" t="s">
        <v>44</v>
      </c>
      <c r="M202" s="8" t="s">
        <v>45</v>
      </c>
      <c r="N202" s="8">
        <v>69</v>
      </c>
      <c r="O202" s="8" t="s">
        <v>52</v>
      </c>
      <c r="P202" s="8" t="str">
        <f t="shared" si="6"/>
        <v>not valid</v>
      </c>
      <c r="Q202" s="8" t="str">
        <f t="shared" si="7"/>
        <v>Valid</v>
      </c>
    </row>
    <row r="203" spans="1:17" ht="13.8">
      <c r="A203" s="8" t="s">
        <v>247</v>
      </c>
      <c r="B203" s="8" t="s">
        <v>38</v>
      </c>
      <c r="C203" s="8" t="s">
        <v>27</v>
      </c>
      <c r="D203" s="7">
        <v>45664</v>
      </c>
      <c r="E203" s="7">
        <v>45700</v>
      </c>
      <c r="F203" s="8">
        <v>0</v>
      </c>
      <c r="G203" s="8" t="s">
        <v>48</v>
      </c>
      <c r="H203" s="8" t="s">
        <v>49</v>
      </c>
      <c r="I203" s="8" t="s">
        <v>546</v>
      </c>
      <c r="J203" s="8" t="s">
        <v>30</v>
      </c>
      <c r="K203" s="8" t="s">
        <v>40</v>
      </c>
      <c r="L203" s="8" t="s">
        <v>41</v>
      </c>
      <c r="M203" s="8" t="s">
        <v>23</v>
      </c>
      <c r="N203" s="8">
        <v>62</v>
      </c>
      <c r="O203" s="8" t="s">
        <v>24</v>
      </c>
      <c r="P203" s="8" t="str">
        <f t="shared" si="6"/>
        <v>Valid</v>
      </c>
      <c r="Q203" s="8" t="str">
        <f t="shared" si="7"/>
        <v>Valid</v>
      </c>
    </row>
    <row r="204" spans="1:17" ht="13.8">
      <c r="A204" s="8" t="s">
        <v>248</v>
      </c>
      <c r="B204" s="8" t="s">
        <v>26</v>
      </c>
      <c r="C204" s="8" t="s">
        <v>27</v>
      </c>
      <c r="D204" s="7">
        <v>45706</v>
      </c>
      <c r="E204" s="7">
        <v>45855</v>
      </c>
      <c r="F204" s="8">
        <v>0</v>
      </c>
      <c r="G204" s="8" t="s">
        <v>34</v>
      </c>
      <c r="H204" s="8" t="s">
        <v>49</v>
      </c>
      <c r="I204" s="8" t="s">
        <v>546</v>
      </c>
      <c r="J204" s="8" t="s">
        <v>20</v>
      </c>
      <c r="K204" s="8" t="s">
        <v>43</v>
      </c>
      <c r="L204" s="8" t="s">
        <v>27</v>
      </c>
      <c r="M204" s="8" t="s">
        <v>45</v>
      </c>
      <c r="N204" s="8">
        <v>50</v>
      </c>
      <c r="O204" s="8" t="s">
        <v>46</v>
      </c>
      <c r="P204" s="8" t="str">
        <f t="shared" si="6"/>
        <v>Valid</v>
      </c>
      <c r="Q204" s="8" t="str">
        <f t="shared" si="7"/>
        <v>Valid</v>
      </c>
    </row>
    <row r="205" spans="1:17" ht="13.8">
      <c r="A205" s="8" t="s">
        <v>249</v>
      </c>
      <c r="B205" s="8" t="s">
        <v>26</v>
      </c>
      <c r="C205" s="8" t="s">
        <v>17</v>
      </c>
      <c r="D205" s="7">
        <v>45831</v>
      </c>
      <c r="E205" s="7">
        <v>45690</v>
      </c>
      <c r="F205" s="8">
        <v>3106</v>
      </c>
      <c r="G205" s="8" t="s">
        <v>28</v>
      </c>
      <c r="H205" s="8" t="s">
        <v>29</v>
      </c>
      <c r="I205" s="7">
        <v>45928</v>
      </c>
      <c r="J205" s="8" t="s">
        <v>20</v>
      </c>
      <c r="K205" s="8" t="s">
        <v>40</v>
      </c>
      <c r="L205" s="8" t="s">
        <v>22</v>
      </c>
      <c r="M205" s="8" t="s">
        <v>23</v>
      </c>
      <c r="N205" s="8">
        <v>83</v>
      </c>
      <c r="O205" s="8" t="s">
        <v>52</v>
      </c>
      <c r="P205" s="8" t="str">
        <f t="shared" si="6"/>
        <v>not valid</v>
      </c>
      <c r="Q205" s="8" t="str">
        <f t="shared" si="7"/>
        <v>Valid</v>
      </c>
    </row>
    <row r="206" spans="1:17" ht="13.8">
      <c r="A206" s="8" t="s">
        <v>250</v>
      </c>
      <c r="B206" s="8" t="s">
        <v>51</v>
      </c>
      <c r="C206" s="8" t="s">
        <v>27</v>
      </c>
      <c r="D206" s="7">
        <v>45671</v>
      </c>
      <c r="E206" s="7">
        <v>45800</v>
      </c>
      <c r="F206" s="8">
        <v>0</v>
      </c>
      <c r="G206" s="8" t="s">
        <v>48</v>
      </c>
      <c r="H206" s="8" t="s">
        <v>49</v>
      </c>
      <c r="I206" s="8" t="s">
        <v>546</v>
      </c>
      <c r="J206" s="8" t="s">
        <v>30</v>
      </c>
      <c r="K206" s="8" t="s">
        <v>21</v>
      </c>
      <c r="L206" s="8" t="s">
        <v>44</v>
      </c>
      <c r="M206" s="8" t="s">
        <v>32</v>
      </c>
      <c r="N206" s="8">
        <v>35</v>
      </c>
      <c r="O206" s="8" t="s">
        <v>46</v>
      </c>
      <c r="P206" s="8" t="str">
        <f t="shared" si="6"/>
        <v>Valid</v>
      </c>
      <c r="Q206" s="8" t="str">
        <f t="shared" si="7"/>
        <v>Valid</v>
      </c>
    </row>
    <row r="207" spans="1:17" ht="13.8">
      <c r="A207" s="8" t="s">
        <v>251</v>
      </c>
      <c r="B207" s="8" t="s">
        <v>38</v>
      </c>
      <c r="C207" s="8" t="s">
        <v>39</v>
      </c>
      <c r="D207" s="7">
        <v>45676</v>
      </c>
      <c r="E207" s="7">
        <v>45676</v>
      </c>
      <c r="F207" s="8">
        <v>0</v>
      </c>
      <c r="G207" s="8" t="s">
        <v>18</v>
      </c>
      <c r="H207" s="8" t="s">
        <v>35</v>
      </c>
      <c r="I207" s="8" t="s">
        <v>546</v>
      </c>
      <c r="J207" s="8" t="s">
        <v>20</v>
      </c>
      <c r="K207" s="8" t="s">
        <v>31</v>
      </c>
      <c r="L207" s="8" t="s">
        <v>44</v>
      </c>
      <c r="M207" s="8" t="s">
        <v>45</v>
      </c>
      <c r="N207" s="8">
        <v>85</v>
      </c>
      <c r="O207" s="8" t="s">
        <v>24</v>
      </c>
      <c r="P207" s="8" t="str">
        <f t="shared" si="6"/>
        <v>Valid</v>
      </c>
      <c r="Q207" s="8" t="str">
        <f t="shared" si="7"/>
        <v>Valid</v>
      </c>
    </row>
    <row r="208" spans="1:17" ht="13.8">
      <c r="A208" s="8" t="s">
        <v>252</v>
      </c>
      <c r="B208" s="8" t="s">
        <v>51</v>
      </c>
      <c r="C208" s="8" t="s">
        <v>27</v>
      </c>
      <c r="D208" s="7">
        <v>45926</v>
      </c>
      <c r="E208" s="7">
        <v>45736</v>
      </c>
      <c r="F208" s="8">
        <v>0</v>
      </c>
      <c r="G208" s="8" t="s">
        <v>34</v>
      </c>
      <c r="H208" s="8" t="s">
        <v>49</v>
      </c>
      <c r="I208" s="8" t="s">
        <v>546</v>
      </c>
      <c r="J208" s="8" t="s">
        <v>30</v>
      </c>
      <c r="K208" s="8" t="s">
        <v>21</v>
      </c>
      <c r="L208" s="8" t="s">
        <v>27</v>
      </c>
      <c r="M208" s="8" t="s">
        <v>32</v>
      </c>
      <c r="N208" s="8">
        <v>48</v>
      </c>
      <c r="O208" s="8" t="s">
        <v>46</v>
      </c>
      <c r="P208" s="8" t="str">
        <f t="shared" si="6"/>
        <v>not valid</v>
      </c>
      <c r="Q208" s="8" t="str">
        <f t="shared" si="7"/>
        <v>Valid</v>
      </c>
    </row>
    <row r="209" spans="1:17" ht="13.8">
      <c r="A209" s="8" t="s">
        <v>253</v>
      </c>
      <c r="B209" s="8" t="s">
        <v>38</v>
      </c>
      <c r="C209" s="8" t="s">
        <v>39</v>
      </c>
      <c r="D209" s="7">
        <v>45869</v>
      </c>
      <c r="E209" s="7">
        <v>45869</v>
      </c>
      <c r="F209" s="8">
        <v>0</v>
      </c>
      <c r="G209" s="8" t="s">
        <v>48</v>
      </c>
      <c r="H209" s="8" t="s">
        <v>29</v>
      </c>
      <c r="I209" s="8" t="s">
        <v>546</v>
      </c>
      <c r="J209" s="8" t="s">
        <v>20</v>
      </c>
      <c r="K209" s="8" t="s">
        <v>43</v>
      </c>
      <c r="L209" s="8" t="s">
        <v>44</v>
      </c>
      <c r="M209" s="8" t="s">
        <v>36</v>
      </c>
      <c r="N209" s="8">
        <v>90</v>
      </c>
      <c r="O209" s="8" t="s">
        <v>46</v>
      </c>
      <c r="P209" s="8" t="str">
        <f t="shared" si="6"/>
        <v>Valid</v>
      </c>
      <c r="Q209" s="8" t="str">
        <f t="shared" si="7"/>
        <v>Valid</v>
      </c>
    </row>
    <row r="210" spans="1:17" ht="13.8">
      <c r="A210" s="8" t="s">
        <v>254</v>
      </c>
      <c r="B210" s="8" t="s">
        <v>51</v>
      </c>
      <c r="C210" s="8" t="s">
        <v>27</v>
      </c>
      <c r="D210" s="7">
        <v>45867</v>
      </c>
      <c r="E210" s="7">
        <v>45715</v>
      </c>
      <c r="F210" s="8">
        <v>0</v>
      </c>
      <c r="G210" s="8" t="s">
        <v>28</v>
      </c>
      <c r="H210" s="8" t="s">
        <v>49</v>
      </c>
      <c r="I210" s="8" t="s">
        <v>546</v>
      </c>
      <c r="J210" s="8" t="s">
        <v>20</v>
      </c>
      <c r="K210" s="8" t="s">
        <v>40</v>
      </c>
      <c r="L210" s="8" t="s">
        <v>22</v>
      </c>
      <c r="M210" s="8" t="s">
        <v>32</v>
      </c>
      <c r="N210" s="8">
        <v>95</v>
      </c>
      <c r="O210" s="8" t="s">
        <v>46</v>
      </c>
      <c r="P210" s="8" t="str">
        <f t="shared" si="6"/>
        <v>not valid</v>
      </c>
      <c r="Q210" s="8" t="str">
        <f t="shared" si="7"/>
        <v>Valid</v>
      </c>
    </row>
    <row r="211" spans="1:17" ht="13.8">
      <c r="A211" s="8" t="s">
        <v>255</v>
      </c>
      <c r="B211" s="8" t="s">
        <v>38</v>
      </c>
      <c r="C211" s="8" t="s">
        <v>17</v>
      </c>
      <c r="D211" s="7">
        <v>45676</v>
      </c>
      <c r="E211" s="7">
        <v>45771</v>
      </c>
      <c r="F211" s="8">
        <v>4732</v>
      </c>
      <c r="G211" s="8" t="s">
        <v>48</v>
      </c>
      <c r="H211" s="8" t="s">
        <v>29</v>
      </c>
      <c r="I211" s="7">
        <v>45931</v>
      </c>
      <c r="J211" s="8" t="s">
        <v>20</v>
      </c>
      <c r="K211" s="8" t="s">
        <v>21</v>
      </c>
      <c r="L211" s="8" t="s">
        <v>22</v>
      </c>
      <c r="M211" s="8" t="s">
        <v>32</v>
      </c>
      <c r="N211" s="8">
        <v>52</v>
      </c>
      <c r="O211" s="8" t="s">
        <v>52</v>
      </c>
      <c r="P211" s="8" t="str">
        <f t="shared" si="6"/>
        <v>Valid</v>
      </c>
      <c r="Q211" s="8" t="str">
        <f t="shared" si="7"/>
        <v>Valid</v>
      </c>
    </row>
    <row r="212" spans="1:17" ht="13.8">
      <c r="A212" s="8" t="s">
        <v>256</v>
      </c>
      <c r="B212" s="8" t="s">
        <v>51</v>
      </c>
      <c r="C212" s="8" t="s">
        <v>27</v>
      </c>
      <c r="D212" s="7">
        <v>45706</v>
      </c>
      <c r="E212" s="7">
        <v>45857</v>
      </c>
      <c r="F212" s="8">
        <v>0</v>
      </c>
      <c r="G212" s="8" t="s">
        <v>18</v>
      </c>
      <c r="H212" s="8" t="s">
        <v>29</v>
      </c>
      <c r="I212" s="8" t="s">
        <v>546</v>
      </c>
      <c r="J212" s="8" t="s">
        <v>20</v>
      </c>
      <c r="K212" s="8" t="s">
        <v>31</v>
      </c>
      <c r="L212" s="8" t="s">
        <v>44</v>
      </c>
      <c r="M212" s="8" t="s">
        <v>36</v>
      </c>
      <c r="N212" s="8">
        <v>47</v>
      </c>
      <c r="O212" s="8" t="s">
        <v>46</v>
      </c>
      <c r="P212" s="8" t="str">
        <f t="shared" si="6"/>
        <v>Valid</v>
      </c>
      <c r="Q212" s="8" t="str">
        <f t="shared" si="7"/>
        <v>Valid</v>
      </c>
    </row>
    <row r="213" spans="1:17" ht="13.8">
      <c r="A213" s="8" t="s">
        <v>257</v>
      </c>
      <c r="B213" s="8" t="s">
        <v>38</v>
      </c>
      <c r="C213" s="8" t="s">
        <v>17</v>
      </c>
      <c r="D213" s="7">
        <v>45727</v>
      </c>
      <c r="E213" s="7">
        <v>45809</v>
      </c>
      <c r="F213" s="8">
        <v>2281</v>
      </c>
      <c r="G213" s="8" t="s">
        <v>34</v>
      </c>
      <c r="H213" s="8" t="s">
        <v>29</v>
      </c>
      <c r="I213" s="7">
        <v>45906</v>
      </c>
      <c r="J213" s="8" t="s">
        <v>20</v>
      </c>
      <c r="K213" s="8" t="s">
        <v>40</v>
      </c>
      <c r="L213" s="8" t="s">
        <v>27</v>
      </c>
      <c r="M213" s="8" t="s">
        <v>32</v>
      </c>
      <c r="N213" s="8">
        <v>33</v>
      </c>
      <c r="O213" s="8" t="s">
        <v>46</v>
      </c>
      <c r="P213" s="8" t="str">
        <f t="shared" si="6"/>
        <v>Valid</v>
      </c>
      <c r="Q213" s="8" t="str">
        <f t="shared" si="7"/>
        <v>Valid</v>
      </c>
    </row>
    <row r="214" spans="1:17" ht="13.8">
      <c r="A214" s="8" t="s">
        <v>258</v>
      </c>
      <c r="B214" s="8" t="s">
        <v>51</v>
      </c>
      <c r="C214" s="8" t="s">
        <v>17</v>
      </c>
      <c r="D214" s="7">
        <v>45827</v>
      </c>
      <c r="E214" s="7">
        <v>45861</v>
      </c>
      <c r="F214" s="8">
        <v>2943</v>
      </c>
      <c r="G214" s="8" t="s">
        <v>18</v>
      </c>
      <c r="H214" s="8" t="s">
        <v>49</v>
      </c>
      <c r="I214" s="7">
        <v>45710</v>
      </c>
      <c r="J214" s="8" t="s">
        <v>30</v>
      </c>
      <c r="K214" s="8" t="s">
        <v>21</v>
      </c>
      <c r="L214" s="8" t="s">
        <v>27</v>
      </c>
      <c r="M214" s="8" t="s">
        <v>32</v>
      </c>
      <c r="N214" s="8">
        <v>59</v>
      </c>
      <c r="O214" s="8" t="s">
        <v>52</v>
      </c>
      <c r="P214" s="8" t="str">
        <f t="shared" si="6"/>
        <v>Valid</v>
      </c>
      <c r="Q214" s="8" t="str">
        <f t="shared" si="7"/>
        <v>Not valid</v>
      </c>
    </row>
    <row r="215" spans="1:17" ht="13.8">
      <c r="A215" s="8" t="s">
        <v>259</v>
      </c>
      <c r="B215" s="8" t="s">
        <v>26</v>
      </c>
      <c r="C215" s="8" t="s">
        <v>27</v>
      </c>
      <c r="D215" s="7">
        <v>45921</v>
      </c>
      <c r="E215" s="7">
        <v>45927</v>
      </c>
      <c r="F215" s="8">
        <v>0</v>
      </c>
      <c r="G215" s="8" t="s">
        <v>28</v>
      </c>
      <c r="H215" s="8" t="s">
        <v>35</v>
      </c>
      <c r="I215" s="8" t="s">
        <v>546</v>
      </c>
      <c r="J215" s="8" t="s">
        <v>30</v>
      </c>
      <c r="K215" s="8" t="s">
        <v>43</v>
      </c>
      <c r="L215" s="8" t="s">
        <v>44</v>
      </c>
      <c r="M215" s="8" t="s">
        <v>23</v>
      </c>
      <c r="N215" s="8">
        <v>48</v>
      </c>
      <c r="O215" s="8" t="s">
        <v>46</v>
      </c>
      <c r="P215" s="8" t="str">
        <f t="shared" si="6"/>
        <v>Valid</v>
      </c>
      <c r="Q215" s="8" t="str">
        <f t="shared" si="7"/>
        <v>Valid</v>
      </c>
    </row>
    <row r="216" spans="1:17" ht="13.8">
      <c r="A216" s="8" t="s">
        <v>260</v>
      </c>
      <c r="B216" s="8" t="s">
        <v>51</v>
      </c>
      <c r="C216" s="8" t="s">
        <v>27</v>
      </c>
      <c r="D216" s="7">
        <v>45729</v>
      </c>
      <c r="E216" s="7">
        <v>45776</v>
      </c>
      <c r="F216" s="8">
        <v>0</v>
      </c>
      <c r="G216" s="8" t="s">
        <v>34</v>
      </c>
      <c r="H216" s="8" t="s">
        <v>19</v>
      </c>
      <c r="I216" s="8" t="s">
        <v>546</v>
      </c>
      <c r="J216" s="8" t="s">
        <v>30</v>
      </c>
      <c r="K216" s="8" t="s">
        <v>21</v>
      </c>
      <c r="L216" s="8" t="s">
        <v>22</v>
      </c>
      <c r="M216" s="8" t="s">
        <v>45</v>
      </c>
      <c r="N216" s="8">
        <v>73</v>
      </c>
      <c r="O216" s="8" t="s">
        <v>46</v>
      </c>
      <c r="P216" s="8" t="str">
        <f t="shared" si="6"/>
        <v>Valid</v>
      </c>
      <c r="Q216" s="8" t="str">
        <f t="shared" si="7"/>
        <v>Valid</v>
      </c>
    </row>
    <row r="217" spans="1:17" ht="13.8">
      <c r="A217" s="8" t="s">
        <v>261</v>
      </c>
      <c r="B217" s="8" t="s">
        <v>16</v>
      </c>
      <c r="C217" s="8" t="s">
        <v>39</v>
      </c>
      <c r="D217" s="7">
        <v>45877</v>
      </c>
      <c r="E217" s="7">
        <v>45877</v>
      </c>
      <c r="F217" s="8">
        <v>0</v>
      </c>
      <c r="G217" s="8" t="s">
        <v>34</v>
      </c>
      <c r="H217" s="8" t="s">
        <v>19</v>
      </c>
      <c r="I217" s="8" t="s">
        <v>546</v>
      </c>
      <c r="J217" s="8" t="s">
        <v>20</v>
      </c>
      <c r="K217" s="8" t="s">
        <v>21</v>
      </c>
      <c r="L217" s="8" t="s">
        <v>27</v>
      </c>
      <c r="M217" s="8" t="s">
        <v>36</v>
      </c>
      <c r="N217" s="8">
        <v>53</v>
      </c>
      <c r="O217" s="8" t="s">
        <v>46</v>
      </c>
      <c r="P217" s="8" t="str">
        <f t="shared" si="6"/>
        <v>Valid</v>
      </c>
      <c r="Q217" s="8" t="str">
        <f t="shared" si="7"/>
        <v>Valid</v>
      </c>
    </row>
    <row r="218" spans="1:17" ht="13.8">
      <c r="A218" s="8" t="s">
        <v>262</v>
      </c>
      <c r="B218" s="8" t="s">
        <v>16</v>
      </c>
      <c r="C218" s="8" t="s">
        <v>39</v>
      </c>
      <c r="D218" s="7">
        <v>45700</v>
      </c>
      <c r="E218" s="7">
        <v>45700</v>
      </c>
      <c r="F218" s="8">
        <v>0</v>
      </c>
      <c r="G218" s="8" t="s">
        <v>28</v>
      </c>
      <c r="H218" s="8" t="s">
        <v>19</v>
      </c>
      <c r="I218" s="8" t="s">
        <v>546</v>
      </c>
      <c r="J218" s="8" t="s">
        <v>30</v>
      </c>
      <c r="K218" s="8" t="s">
        <v>40</v>
      </c>
      <c r="L218" s="8" t="s">
        <v>22</v>
      </c>
      <c r="M218" s="8" t="s">
        <v>36</v>
      </c>
      <c r="N218" s="8">
        <v>50</v>
      </c>
      <c r="O218" s="8" t="s">
        <v>52</v>
      </c>
      <c r="P218" s="8" t="str">
        <f t="shared" si="6"/>
        <v>Valid</v>
      </c>
      <c r="Q218" s="8" t="str">
        <f t="shared" si="7"/>
        <v>Valid</v>
      </c>
    </row>
    <row r="219" spans="1:17" ht="13.8">
      <c r="A219" s="8" t="s">
        <v>263</v>
      </c>
      <c r="B219" s="8" t="s">
        <v>51</v>
      </c>
      <c r="C219" s="8" t="s">
        <v>17</v>
      </c>
      <c r="D219" s="7">
        <v>45798</v>
      </c>
      <c r="E219" s="7">
        <v>45925</v>
      </c>
      <c r="F219" s="8">
        <v>4347</v>
      </c>
      <c r="G219" s="8" t="s">
        <v>34</v>
      </c>
      <c r="H219" s="8" t="s">
        <v>19</v>
      </c>
      <c r="I219" s="7">
        <v>45816</v>
      </c>
      <c r="J219" s="8" t="s">
        <v>30</v>
      </c>
      <c r="K219" s="8" t="s">
        <v>31</v>
      </c>
      <c r="L219" s="8" t="s">
        <v>547</v>
      </c>
      <c r="M219" s="8" t="s">
        <v>23</v>
      </c>
      <c r="N219" s="8">
        <v>68</v>
      </c>
      <c r="O219" s="8" t="s">
        <v>52</v>
      </c>
      <c r="P219" s="8" t="str">
        <f t="shared" si="6"/>
        <v>Valid</v>
      </c>
      <c r="Q219" s="8" t="str">
        <f t="shared" si="7"/>
        <v>Valid</v>
      </c>
    </row>
    <row r="220" spans="1:17" ht="13.8">
      <c r="A220" s="8" t="s">
        <v>264</v>
      </c>
      <c r="B220" s="8" t="s">
        <v>38</v>
      </c>
      <c r="C220" s="8" t="s">
        <v>39</v>
      </c>
      <c r="D220" s="7">
        <v>45885</v>
      </c>
      <c r="E220" s="7">
        <v>45885</v>
      </c>
      <c r="F220" s="8">
        <v>0</v>
      </c>
      <c r="G220" s="8" t="s">
        <v>48</v>
      </c>
      <c r="H220" s="8" t="s">
        <v>19</v>
      </c>
      <c r="I220" s="8" t="s">
        <v>546</v>
      </c>
      <c r="J220" s="8" t="s">
        <v>30</v>
      </c>
      <c r="K220" s="8" t="s">
        <v>40</v>
      </c>
      <c r="L220" s="8" t="s">
        <v>22</v>
      </c>
      <c r="M220" s="8" t="s">
        <v>32</v>
      </c>
      <c r="N220" s="8">
        <v>63</v>
      </c>
      <c r="O220" s="8" t="s">
        <v>46</v>
      </c>
      <c r="P220" s="8" t="str">
        <f t="shared" si="6"/>
        <v>Valid</v>
      </c>
      <c r="Q220" s="8" t="str">
        <f t="shared" si="7"/>
        <v>Valid</v>
      </c>
    </row>
    <row r="221" spans="1:17" ht="13.8">
      <c r="A221" s="8" t="s">
        <v>265</v>
      </c>
      <c r="B221" s="8" t="s">
        <v>51</v>
      </c>
      <c r="C221" s="8" t="s">
        <v>27</v>
      </c>
      <c r="D221" s="7">
        <v>45864</v>
      </c>
      <c r="E221" s="7">
        <v>45827</v>
      </c>
      <c r="F221" s="8">
        <v>0</v>
      </c>
      <c r="G221" s="8" t="s">
        <v>28</v>
      </c>
      <c r="H221" s="8" t="s">
        <v>19</v>
      </c>
      <c r="I221" s="8" t="s">
        <v>546</v>
      </c>
      <c r="J221" s="8" t="s">
        <v>20</v>
      </c>
      <c r="K221" s="8" t="s">
        <v>40</v>
      </c>
      <c r="L221" s="8" t="s">
        <v>41</v>
      </c>
      <c r="M221" s="8" t="s">
        <v>45</v>
      </c>
      <c r="N221" s="8">
        <v>35</v>
      </c>
      <c r="O221" s="8" t="s">
        <v>24</v>
      </c>
      <c r="P221" s="8" t="str">
        <f t="shared" si="6"/>
        <v>not valid</v>
      </c>
      <c r="Q221" s="8" t="str">
        <f t="shared" si="7"/>
        <v>Valid</v>
      </c>
    </row>
    <row r="222" spans="1:17" ht="13.8">
      <c r="A222" s="8" t="s">
        <v>266</v>
      </c>
      <c r="B222" s="8" t="s">
        <v>38</v>
      </c>
      <c r="C222" s="8" t="s">
        <v>39</v>
      </c>
      <c r="D222" s="7">
        <v>45846</v>
      </c>
      <c r="E222" s="7">
        <v>45846</v>
      </c>
      <c r="F222" s="8">
        <v>0</v>
      </c>
      <c r="G222" s="8" t="s">
        <v>18</v>
      </c>
      <c r="H222" s="8" t="s">
        <v>19</v>
      </c>
      <c r="I222" s="8" t="s">
        <v>546</v>
      </c>
      <c r="J222" s="8" t="s">
        <v>30</v>
      </c>
      <c r="K222" s="8" t="s">
        <v>31</v>
      </c>
      <c r="L222" s="8" t="s">
        <v>41</v>
      </c>
      <c r="M222" s="8" t="s">
        <v>36</v>
      </c>
      <c r="N222" s="8">
        <v>69</v>
      </c>
      <c r="O222" s="8" t="s">
        <v>52</v>
      </c>
      <c r="P222" s="8" t="str">
        <f t="shared" si="6"/>
        <v>Valid</v>
      </c>
      <c r="Q222" s="8" t="str">
        <f t="shared" si="7"/>
        <v>Valid</v>
      </c>
    </row>
    <row r="223" spans="1:17" ht="13.8">
      <c r="A223" s="8" t="s">
        <v>267</v>
      </c>
      <c r="B223" s="8" t="s">
        <v>26</v>
      </c>
      <c r="C223" s="8" t="s">
        <v>17</v>
      </c>
      <c r="D223" s="7">
        <v>45879</v>
      </c>
      <c r="E223" s="7">
        <v>45887</v>
      </c>
      <c r="F223" s="8">
        <v>3973</v>
      </c>
      <c r="G223" s="8" t="s">
        <v>18</v>
      </c>
      <c r="H223" s="8" t="s">
        <v>19</v>
      </c>
      <c r="I223" s="7">
        <v>45833</v>
      </c>
      <c r="J223" s="8" t="s">
        <v>30</v>
      </c>
      <c r="K223" s="8" t="s">
        <v>43</v>
      </c>
      <c r="L223" s="8" t="s">
        <v>548</v>
      </c>
      <c r="M223" s="8" t="s">
        <v>23</v>
      </c>
      <c r="N223" s="8">
        <v>62</v>
      </c>
      <c r="O223" s="8" t="s">
        <v>52</v>
      </c>
      <c r="P223" s="8" t="str">
        <f t="shared" si="6"/>
        <v>Valid</v>
      </c>
      <c r="Q223" s="8" t="str">
        <f t="shared" si="7"/>
        <v>Not valid</v>
      </c>
    </row>
    <row r="224" spans="1:17" ht="13.8">
      <c r="A224" s="8" t="s">
        <v>268</v>
      </c>
      <c r="B224" s="8" t="s">
        <v>51</v>
      </c>
      <c r="C224" s="8" t="s">
        <v>39</v>
      </c>
      <c r="D224" s="7">
        <v>45663</v>
      </c>
      <c r="E224" s="7">
        <v>45663</v>
      </c>
      <c r="F224" s="8">
        <v>0</v>
      </c>
      <c r="G224" s="8" t="s">
        <v>18</v>
      </c>
      <c r="H224" s="8" t="s">
        <v>35</v>
      </c>
      <c r="I224" s="8" t="s">
        <v>546</v>
      </c>
      <c r="J224" s="8" t="s">
        <v>20</v>
      </c>
      <c r="K224" s="8" t="s">
        <v>40</v>
      </c>
      <c r="L224" s="8" t="s">
        <v>22</v>
      </c>
      <c r="M224" s="8" t="s">
        <v>23</v>
      </c>
      <c r="N224" s="8">
        <v>42</v>
      </c>
      <c r="O224" s="8" t="s">
        <v>52</v>
      </c>
      <c r="P224" s="8" t="str">
        <f t="shared" si="6"/>
        <v>Valid</v>
      </c>
      <c r="Q224" s="8" t="str">
        <f t="shared" si="7"/>
        <v>Valid</v>
      </c>
    </row>
    <row r="225" spans="1:17" ht="13.8">
      <c r="A225" s="8" t="s">
        <v>269</v>
      </c>
      <c r="B225" s="8" t="s">
        <v>38</v>
      </c>
      <c r="C225" s="8" t="s">
        <v>17</v>
      </c>
      <c r="D225" s="7">
        <v>45670</v>
      </c>
      <c r="E225" s="7">
        <v>45826</v>
      </c>
      <c r="F225" s="8">
        <v>4995</v>
      </c>
      <c r="G225" s="8" t="s">
        <v>28</v>
      </c>
      <c r="H225" s="8" t="s">
        <v>19</v>
      </c>
      <c r="I225" s="7">
        <v>45779</v>
      </c>
      <c r="J225" s="8" t="s">
        <v>30</v>
      </c>
      <c r="K225" s="8" t="s">
        <v>31</v>
      </c>
      <c r="L225" s="8" t="s">
        <v>27</v>
      </c>
      <c r="M225" s="8" t="s">
        <v>36</v>
      </c>
      <c r="N225" s="8">
        <v>34</v>
      </c>
      <c r="O225" s="8" t="s">
        <v>24</v>
      </c>
      <c r="P225" s="8" t="str">
        <f t="shared" si="6"/>
        <v>Valid</v>
      </c>
      <c r="Q225" s="8" t="str">
        <f t="shared" si="7"/>
        <v>Valid</v>
      </c>
    </row>
    <row r="226" spans="1:17" ht="13.8">
      <c r="A226" s="8" t="s">
        <v>270</v>
      </c>
      <c r="B226" s="8" t="s">
        <v>51</v>
      </c>
      <c r="C226" s="8" t="s">
        <v>39</v>
      </c>
      <c r="D226" s="7">
        <v>45905</v>
      </c>
      <c r="E226" s="7">
        <v>45905</v>
      </c>
      <c r="F226" s="8">
        <v>0</v>
      </c>
      <c r="G226" s="8" t="s">
        <v>18</v>
      </c>
      <c r="H226" s="8" t="s">
        <v>49</v>
      </c>
      <c r="I226" s="8" t="s">
        <v>546</v>
      </c>
      <c r="J226" s="8" t="s">
        <v>30</v>
      </c>
      <c r="K226" s="8" t="s">
        <v>43</v>
      </c>
      <c r="L226" s="8" t="s">
        <v>27</v>
      </c>
      <c r="M226" s="8" t="s">
        <v>45</v>
      </c>
      <c r="N226" s="8">
        <v>66</v>
      </c>
      <c r="O226" s="8" t="s">
        <v>52</v>
      </c>
      <c r="P226" s="8" t="str">
        <f t="shared" si="6"/>
        <v>Valid</v>
      </c>
      <c r="Q226" s="8" t="str">
        <f t="shared" si="7"/>
        <v>Valid</v>
      </c>
    </row>
    <row r="227" spans="1:17" ht="13.8">
      <c r="A227" s="8" t="s">
        <v>271</v>
      </c>
      <c r="B227" s="8" t="s">
        <v>16</v>
      </c>
      <c r="C227" s="8" t="s">
        <v>39</v>
      </c>
      <c r="D227" s="7">
        <v>45754</v>
      </c>
      <c r="E227" s="7">
        <v>45754</v>
      </c>
      <c r="F227" s="8">
        <v>0</v>
      </c>
      <c r="G227" s="8" t="s">
        <v>18</v>
      </c>
      <c r="H227" s="8" t="s">
        <v>29</v>
      </c>
      <c r="I227" s="8" t="s">
        <v>546</v>
      </c>
      <c r="J227" s="8" t="s">
        <v>30</v>
      </c>
      <c r="K227" s="8" t="s">
        <v>40</v>
      </c>
      <c r="L227" s="8" t="s">
        <v>41</v>
      </c>
      <c r="M227" s="8" t="s">
        <v>23</v>
      </c>
      <c r="N227" s="8">
        <v>58</v>
      </c>
      <c r="O227" s="8" t="s">
        <v>24</v>
      </c>
      <c r="P227" s="8" t="str">
        <f t="shared" si="6"/>
        <v>Valid</v>
      </c>
      <c r="Q227" s="8" t="str">
        <f t="shared" si="7"/>
        <v>Valid</v>
      </c>
    </row>
    <row r="228" spans="1:17" ht="13.8">
      <c r="A228" s="8" t="s">
        <v>272</v>
      </c>
      <c r="B228" s="8" t="s">
        <v>16</v>
      </c>
      <c r="C228" s="8" t="s">
        <v>27</v>
      </c>
      <c r="D228" s="7">
        <v>45672</v>
      </c>
      <c r="E228" s="7">
        <v>45788</v>
      </c>
      <c r="F228" s="8">
        <v>0</v>
      </c>
      <c r="G228" s="8" t="s">
        <v>18</v>
      </c>
      <c r="H228" s="8" t="s">
        <v>29</v>
      </c>
      <c r="I228" s="8" t="s">
        <v>546</v>
      </c>
      <c r="J228" s="8" t="s">
        <v>20</v>
      </c>
      <c r="K228" s="8" t="s">
        <v>31</v>
      </c>
      <c r="L228" s="8" t="s">
        <v>22</v>
      </c>
      <c r="M228" s="8" t="s">
        <v>32</v>
      </c>
      <c r="N228" s="8">
        <v>75</v>
      </c>
      <c r="O228" s="8" t="s">
        <v>24</v>
      </c>
      <c r="P228" s="8" t="str">
        <f t="shared" si="6"/>
        <v>Valid</v>
      </c>
      <c r="Q228" s="8" t="str">
        <f t="shared" si="7"/>
        <v>Valid</v>
      </c>
    </row>
    <row r="229" spans="1:17" ht="13.8">
      <c r="A229" s="8" t="s">
        <v>273</v>
      </c>
      <c r="B229" s="8" t="s">
        <v>51</v>
      </c>
      <c r="C229" s="8" t="s">
        <v>39</v>
      </c>
      <c r="D229" s="7">
        <v>45755</v>
      </c>
      <c r="E229" s="7">
        <v>45755</v>
      </c>
      <c r="F229" s="8">
        <v>0</v>
      </c>
      <c r="G229" s="8" t="s">
        <v>34</v>
      </c>
      <c r="H229" s="8" t="s">
        <v>19</v>
      </c>
      <c r="I229" s="8" t="s">
        <v>546</v>
      </c>
      <c r="J229" s="8" t="s">
        <v>30</v>
      </c>
      <c r="K229" s="8" t="s">
        <v>21</v>
      </c>
      <c r="L229" s="8" t="s">
        <v>22</v>
      </c>
      <c r="M229" s="8" t="s">
        <v>36</v>
      </c>
      <c r="N229" s="8">
        <v>59</v>
      </c>
      <c r="O229" s="8" t="s">
        <v>24</v>
      </c>
      <c r="P229" s="8" t="str">
        <f t="shared" si="6"/>
        <v>Valid</v>
      </c>
      <c r="Q229" s="8" t="str">
        <f t="shared" si="7"/>
        <v>Valid</v>
      </c>
    </row>
    <row r="230" spans="1:17" ht="13.8">
      <c r="A230" s="8" t="s">
        <v>274</v>
      </c>
      <c r="B230" s="8" t="s">
        <v>38</v>
      </c>
      <c r="C230" s="8" t="s">
        <v>17</v>
      </c>
      <c r="D230" s="7">
        <v>45827</v>
      </c>
      <c r="E230" s="7">
        <v>45859</v>
      </c>
      <c r="F230" s="8">
        <v>2799</v>
      </c>
      <c r="G230" s="8" t="s">
        <v>34</v>
      </c>
      <c r="H230" s="8" t="s">
        <v>29</v>
      </c>
      <c r="I230" s="7">
        <v>45748</v>
      </c>
      <c r="J230" s="8" t="s">
        <v>30</v>
      </c>
      <c r="K230" s="8" t="s">
        <v>31</v>
      </c>
      <c r="L230" s="8" t="s">
        <v>22</v>
      </c>
      <c r="M230" s="8" t="s">
        <v>45</v>
      </c>
      <c r="N230" s="8">
        <v>52</v>
      </c>
      <c r="O230" s="8" t="s">
        <v>46</v>
      </c>
      <c r="P230" s="8" t="str">
        <f t="shared" si="6"/>
        <v>Valid</v>
      </c>
      <c r="Q230" s="8" t="str">
        <f t="shared" si="7"/>
        <v>Not valid</v>
      </c>
    </row>
    <row r="231" spans="1:17" ht="13.8">
      <c r="A231" s="8" t="s">
        <v>275</v>
      </c>
      <c r="B231" s="8" t="s">
        <v>51</v>
      </c>
      <c r="C231" s="8" t="s">
        <v>27</v>
      </c>
      <c r="D231" s="7">
        <v>45778</v>
      </c>
      <c r="E231" s="7">
        <v>45770</v>
      </c>
      <c r="F231" s="8">
        <v>0</v>
      </c>
      <c r="G231" s="8" t="s">
        <v>18</v>
      </c>
      <c r="H231" s="8" t="s">
        <v>29</v>
      </c>
      <c r="I231" s="8" t="s">
        <v>546</v>
      </c>
      <c r="J231" s="8" t="s">
        <v>20</v>
      </c>
      <c r="K231" s="8" t="s">
        <v>40</v>
      </c>
      <c r="L231" s="8" t="s">
        <v>22</v>
      </c>
      <c r="M231" s="8" t="s">
        <v>36</v>
      </c>
      <c r="N231" s="8">
        <v>63</v>
      </c>
      <c r="O231" s="8" t="s">
        <v>46</v>
      </c>
      <c r="P231" s="8" t="str">
        <f t="shared" si="6"/>
        <v>not valid</v>
      </c>
      <c r="Q231" s="8" t="str">
        <f t="shared" si="7"/>
        <v>Valid</v>
      </c>
    </row>
    <row r="232" spans="1:17" ht="13.8">
      <c r="A232" s="8" t="s">
        <v>276</v>
      </c>
      <c r="B232" s="8" t="s">
        <v>38</v>
      </c>
      <c r="C232" s="8" t="s">
        <v>39</v>
      </c>
      <c r="D232" s="7">
        <v>45670</v>
      </c>
      <c r="E232" s="7">
        <v>45670</v>
      </c>
      <c r="F232" s="8">
        <v>0</v>
      </c>
      <c r="G232" s="8" t="s">
        <v>28</v>
      </c>
      <c r="H232" s="8" t="s">
        <v>19</v>
      </c>
      <c r="I232" s="8" t="s">
        <v>546</v>
      </c>
      <c r="J232" s="8" t="s">
        <v>30</v>
      </c>
      <c r="K232" s="8" t="s">
        <v>43</v>
      </c>
      <c r="L232" s="8" t="s">
        <v>44</v>
      </c>
      <c r="M232" s="8" t="s">
        <v>32</v>
      </c>
      <c r="N232" s="8">
        <v>38</v>
      </c>
      <c r="O232" s="8" t="s">
        <v>46</v>
      </c>
      <c r="P232" s="8" t="str">
        <f t="shared" si="6"/>
        <v>Valid</v>
      </c>
      <c r="Q232" s="8" t="str">
        <f t="shared" si="7"/>
        <v>Valid</v>
      </c>
    </row>
    <row r="233" spans="1:17" ht="13.8">
      <c r="A233" s="8" t="s">
        <v>277</v>
      </c>
      <c r="B233" s="8" t="s">
        <v>16</v>
      </c>
      <c r="C233" s="8" t="s">
        <v>39</v>
      </c>
      <c r="D233" s="7">
        <v>45772</v>
      </c>
      <c r="E233" s="7">
        <v>45772</v>
      </c>
      <c r="F233" s="8">
        <v>0</v>
      </c>
      <c r="G233" s="8" t="s">
        <v>34</v>
      </c>
      <c r="H233" s="8" t="s">
        <v>35</v>
      </c>
      <c r="I233" s="8" t="s">
        <v>546</v>
      </c>
      <c r="J233" s="8" t="s">
        <v>20</v>
      </c>
      <c r="K233" s="8" t="s">
        <v>43</v>
      </c>
      <c r="L233" s="8" t="s">
        <v>27</v>
      </c>
      <c r="M233" s="8" t="s">
        <v>45</v>
      </c>
      <c r="N233" s="8">
        <v>92</v>
      </c>
      <c r="O233" s="8" t="s">
        <v>46</v>
      </c>
      <c r="P233" s="8" t="str">
        <f t="shared" si="6"/>
        <v>Valid</v>
      </c>
      <c r="Q233" s="8" t="str">
        <f t="shared" si="7"/>
        <v>Valid</v>
      </c>
    </row>
    <row r="234" spans="1:17" ht="13.8">
      <c r="A234" s="8" t="s">
        <v>278</v>
      </c>
      <c r="B234" s="8" t="s">
        <v>51</v>
      </c>
      <c r="C234" s="8" t="s">
        <v>17</v>
      </c>
      <c r="D234" s="7">
        <v>45797</v>
      </c>
      <c r="E234" s="7">
        <v>45687</v>
      </c>
      <c r="F234" s="8">
        <v>2914</v>
      </c>
      <c r="G234" s="8" t="s">
        <v>28</v>
      </c>
      <c r="H234" s="8" t="s">
        <v>19</v>
      </c>
      <c r="I234" s="7">
        <v>45807</v>
      </c>
      <c r="J234" s="8" t="s">
        <v>30</v>
      </c>
      <c r="K234" s="8" t="s">
        <v>31</v>
      </c>
      <c r="L234" s="8" t="s">
        <v>547</v>
      </c>
      <c r="M234" s="8" t="s">
        <v>36</v>
      </c>
      <c r="N234" s="8">
        <v>75</v>
      </c>
      <c r="O234" s="8" t="s">
        <v>52</v>
      </c>
      <c r="P234" s="8" t="str">
        <f t="shared" si="6"/>
        <v>not valid</v>
      </c>
      <c r="Q234" s="8" t="str">
        <f t="shared" si="7"/>
        <v>Valid</v>
      </c>
    </row>
    <row r="235" spans="1:17" ht="13.8">
      <c r="A235" s="8" t="s">
        <v>279</v>
      </c>
      <c r="B235" s="8" t="s">
        <v>26</v>
      </c>
      <c r="C235" s="8" t="s">
        <v>17</v>
      </c>
      <c r="D235" s="7">
        <v>45715</v>
      </c>
      <c r="E235" s="7">
        <v>45888</v>
      </c>
      <c r="F235" s="8">
        <v>4366</v>
      </c>
      <c r="G235" s="8" t="s">
        <v>28</v>
      </c>
      <c r="H235" s="8" t="s">
        <v>35</v>
      </c>
      <c r="I235" s="7">
        <v>45874</v>
      </c>
      <c r="J235" s="8" t="s">
        <v>20</v>
      </c>
      <c r="K235" s="8" t="s">
        <v>31</v>
      </c>
      <c r="L235" s="8" t="s">
        <v>22</v>
      </c>
      <c r="M235" s="8" t="s">
        <v>32</v>
      </c>
      <c r="N235" s="8">
        <v>92</v>
      </c>
      <c r="O235" s="8" t="s">
        <v>52</v>
      </c>
      <c r="P235" s="8" t="str">
        <f t="shared" si="6"/>
        <v>Valid</v>
      </c>
      <c r="Q235" s="8" t="str">
        <f t="shared" si="7"/>
        <v>Valid</v>
      </c>
    </row>
    <row r="236" spans="1:17" ht="13.8">
      <c r="A236" s="8" t="s">
        <v>280</v>
      </c>
      <c r="B236" s="8" t="s">
        <v>38</v>
      </c>
      <c r="C236" s="8" t="s">
        <v>27</v>
      </c>
      <c r="D236" s="7">
        <v>45767</v>
      </c>
      <c r="E236" s="7">
        <v>45814</v>
      </c>
      <c r="F236" s="8">
        <v>0</v>
      </c>
      <c r="G236" s="8" t="s">
        <v>28</v>
      </c>
      <c r="H236" s="8" t="s">
        <v>29</v>
      </c>
      <c r="I236" s="8" t="s">
        <v>546</v>
      </c>
      <c r="J236" s="8" t="s">
        <v>30</v>
      </c>
      <c r="K236" s="8" t="s">
        <v>40</v>
      </c>
      <c r="L236" s="8" t="s">
        <v>44</v>
      </c>
      <c r="M236" s="8" t="s">
        <v>32</v>
      </c>
      <c r="N236" s="8">
        <v>82</v>
      </c>
      <c r="O236" s="8" t="s">
        <v>24</v>
      </c>
      <c r="P236" s="8" t="str">
        <f t="shared" si="6"/>
        <v>Valid</v>
      </c>
      <c r="Q236" s="8" t="str">
        <f t="shared" si="7"/>
        <v>Valid</v>
      </c>
    </row>
    <row r="237" spans="1:17" ht="13.8">
      <c r="A237" s="8" t="s">
        <v>281</v>
      </c>
      <c r="B237" s="8" t="s">
        <v>38</v>
      </c>
      <c r="C237" s="8" t="s">
        <v>39</v>
      </c>
      <c r="D237" s="7">
        <v>45743</v>
      </c>
      <c r="E237" s="7">
        <v>45743</v>
      </c>
      <c r="F237" s="8">
        <v>0</v>
      </c>
      <c r="G237" s="8" t="s">
        <v>28</v>
      </c>
      <c r="H237" s="8" t="s">
        <v>19</v>
      </c>
      <c r="I237" s="8" t="s">
        <v>546</v>
      </c>
      <c r="J237" s="8" t="s">
        <v>20</v>
      </c>
      <c r="K237" s="8" t="s">
        <v>21</v>
      </c>
      <c r="L237" s="8" t="s">
        <v>22</v>
      </c>
      <c r="M237" s="8" t="s">
        <v>36</v>
      </c>
      <c r="N237" s="8">
        <v>57</v>
      </c>
      <c r="O237" s="8" t="s">
        <v>24</v>
      </c>
      <c r="P237" s="8" t="str">
        <f t="shared" si="6"/>
        <v>Valid</v>
      </c>
      <c r="Q237" s="8" t="str">
        <f t="shared" si="7"/>
        <v>Valid</v>
      </c>
    </row>
    <row r="238" spans="1:17" ht="13.8">
      <c r="A238" s="8" t="s">
        <v>282</v>
      </c>
      <c r="B238" s="8" t="s">
        <v>26</v>
      </c>
      <c r="C238" s="8" t="s">
        <v>39</v>
      </c>
      <c r="D238" s="7">
        <v>45728</v>
      </c>
      <c r="E238" s="7">
        <v>45728</v>
      </c>
      <c r="F238" s="8">
        <v>0</v>
      </c>
      <c r="G238" s="8" t="s">
        <v>34</v>
      </c>
      <c r="H238" s="8" t="s">
        <v>35</v>
      </c>
      <c r="I238" s="8" t="s">
        <v>546</v>
      </c>
      <c r="J238" s="8" t="s">
        <v>20</v>
      </c>
      <c r="K238" s="8" t="s">
        <v>21</v>
      </c>
      <c r="L238" s="8" t="s">
        <v>41</v>
      </c>
      <c r="M238" s="8" t="s">
        <v>23</v>
      </c>
      <c r="N238" s="8">
        <v>58</v>
      </c>
      <c r="O238" s="8" t="s">
        <v>24</v>
      </c>
      <c r="P238" s="8" t="str">
        <f t="shared" si="6"/>
        <v>Valid</v>
      </c>
      <c r="Q238" s="8" t="str">
        <f t="shared" si="7"/>
        <v>Valid</v>
      </c>
    </row>
    <row r="239" spans="1:17" ht="13.8">
      <c r="A239" s="8" t="s">
        <v>283</v>
      </c>
      <c r="B239" s="8" t="s">
        <v>51</v>
      </c>
      <c r="C239" s="8" t="s">
        <v>17</v>
      </c>
      <c r="D239" s="7">
        <v>45773</v>
      </c>
      <c r="E239" s="7">
        <v>45771</v>
      </c>
      <c r="F239" s="8">
        <v>4593</v>
      </c>
      <c r="G239" s="8" t="s">
        <v>34</v>
      </c>
      <c r="H239" s="8" t="s">
        <v>29</v>
      </c>
      <c r="I239" s="7">
        <v>45729</v>
      </c>
      <c r="J239" s="8" t="s">
        <v>30</v>
      </c>
      <c r="K239" s="8" t="s">
        <v>40</v>
      </c>
      <c r="L239" s="8" t="s">
        <v>547</v>
      </c>
      <c r="M239" s="8" t="s">
        <v>23</v>
      </c>
      <c r="N239" s="8">
        <v>73</v>
      </c>
      <c r="O239" s="8" t="s">
        <v>24</v>
      </c>
      <c r="P239" s="8" t="str">
        <f t="shared" si="6"/>
        <v>not valid</v>
      </c>
      <c r="Q239" s="8" t="str">
        <f t="shared" si="7"/>
        <v>Not valid</v>
      </c>
    </row>
    <row r="240" spans="1:17" ht="13.8">
      <c r="A240" s="8" t="s">
        <v>284</v>
      </c>
      <c r="B240" s="8" t="s">
        <v>51</v>
      </c>
      <c r="C240" s="8" t="s">
        <v>27</v>
      </c>
      <c r="D240" s="7">
        <v>45746</v>
      </c>
      <c r="E240" s="7">
        <v>45886</v>
      </c>
      <c r="F240" s="8">
        <v>0</v>
      </c>
      <c r="G240" s="8" t="s">
        <v>18</v>
      </c>
      <c r="H240" s="8" t="s">
        <v>19</v>
      </c>
      <c r="I240" s="8" t="s">
        <v>546</v>
      </c>
      <c r="J240" s="8" t="s">
        <v>30</v>
      </c>
      <c r="K240" s="8" t="s">
        <v>43</v>
      </c>
      <c r="L240" s="8" t="s">
        <v>22</v>
      </c>
      <c r="M240" s="8" t="s">
        <v>32</v>
      </c>
      <c r="N240" s="8">
        <v>95</v>
      </c>
      <c r="O240" s="8" t="s">
        <v>24</v>
      </c>
      <c r="P240" s="8" t="str">
        <f t="shared" si="6"/>
        <v>Valid</v>
      </c>
      <c r="Q240" s="8" t="str">
        <f t="shared" si="7"/>
        <v>Valid</v>
      </c>
    </row>
    <row r="241" spans="1:17" ht="13.8">
      <c r="A241" s="8" t="s">
        <v>285</v>
      </c>
      <c r="B241" s="8" t="s">
        <v>38</v>
      </c>
      <c r="C241" s="8" t="s">
        <v>39</v>
      </c>
      <c r="D241" s="7">
        <v>45678</v>
      </c>
      <c r="E241" s="7">
        <v>45678</v>
      </c>
      <c r="F241" s="8">
        <v>0</v>
      </c>
      <c r="G241" s="8" t="s">
        <v>48</v>
      </c>
      <c r="H241" s="8" t="s">
        <v>35</v>
      </c>
      <c r="I241" s="8" t="s">
        <v>546</v>
      </c>
      <c r="J241" s="8" t="s">
        <v>20</v>
      </c>
      <c r="K241" s="8" t="s">
        <v>21</v>
      </c>
      <c r="L241" s="8" t="s">
        <v>44</v>
      </c>
      <c r="M241" s="8" t="s">
        <v>45</v>
      </c>
      <c r="N241" s="8">
        <v>53</v>
      </c>
      <c r="O241" s="8" t="s">
        <v>46</v>
      </c>
      <c r="P241" s="8" t="str">
        <f t="shared" si="6"/>
        <v>Valid</v>
      </c>
      <c r="Q241" s="8" t="str">
        <f t="shared" si="7"/>
        <v>Valid</v>
      </c>
    </row>
    <row r="242" spans="1:17" ht="13.8">
      <c r="A242" s="8" t="s">
        <v>286</v>
      </c>
      <c r="B242" s="8" t="s">
        <v>51</v>
      </c>
      <c r="C242" s="8" t="s">
        <v>17</v>
      </c>
      <c r="D242" s="7">
        <v>45698</v>
      </c>
      <c r="E242" s="7">
        <v>45688</v>
      </c>
      <c r="F242" s="8">
        <v>2763</v>
      </c>
      <c r="G242" s="8" t="s">
        <v>28</v>
      </c>
      <c r="H242" s="8" t="s">
        <v>19</v>
      </c>
      <c r="I242" s="7">
        <v>45817</v>
      </c>
      <c r="J242" s="8" t="s">
        <v>30</v>
      </c>
      <c r="K242" s="8" t="s">
        <v>43</v>
      </c>
      <c r="L242" s="8" t="s">
        <v>27</v>
      </c>
      <c r="M242" s="8" t="s">
        <v>36</v>
      </c>
      <c r="N242" s="8">
        <v>37</v>
      </c>
      <c r="O242" s="8" t="s">
        <v>52</v>
      </c>
      <c r="P242" s="8" t="str">
        <f t="shared" si="6"/>
        <v>not valid</v>
      </c>
      <c r="Q242" s="8" t="str">
        <f t="shared" si="7"/>
        <v>Valid</v>
      </c>
    </row>
    <row r="243" spans="1:17" ht="13.8">
      <c r="A243" s="8" t="s">
        <v>287</v>
      </c>
      <c r="B243" s="8" t="s">
        <v>26</v>
      </c>
      <c r="C243" s="8" t="s">
        <v>27</v>
      </c>
      <c r="D243" s="7">
        <v>45895</v>
      </c>
      <c r="E243" s="7">
        <v>45918</v>
      </c>
      <c r="F243" s="8">
        <v>0</v>
      </c>
      <c r="G243" s="8" t="s">
        <v>18</v>
      </c>
      <c r="H243" s="8" t="s">
        <v>29</v>
      </c>
      <c r="I243" s="8" t="s">
        <v>546</v>
      </c>
      <c r="J243" s="8" t="s">
        <v>30</v>
      </c>
      <c r="K243" s="8" t="s">
        <v>43</v>
      </c>
      <c r="L243" s="8" t="s">
        <v>44</v>
      </c>
      <c r="M243" s="8" t="s">
        <v>23</v>
      </c>
      <c r="N243" s="8">
        <v>60</v>
      </c>
      <c r="O243" s="8" t="s">
        <v>46</v>
      </c>
      <c r="P243" s="8" t="str">
        <f t="shared" si="6"/>
        <v>Valid</v>
      </c>
      <c r="Q243" s="8" t="str">
        <f t="shared" si="7"/>
        <v>Valid</v>
      </c>
    </row>
    <row r="244" spans="1:17" ht="13.8">
      <c r="A244" s="8" t="s">
        <v>288</v>
      </c>
      <c r="B244" s="8" t="s">
        <v>38</v>
      </c>
      <c r="C244" s="8" t="s">
        <v>17</v>
      </c>
      <c r="D244" s="7">
        <v>45758</v>
      </c>
      <c r="E244" s="7">
        <v>45665</v>
      </c>
      <c r="F244" s="8">
        <v>2220</v>
      </c>
      <c r="G244" s="8" t="s">
        <v>34</v>
      </c>
      <c r="H244" s="8" t="s">
        <v>49</v>
      </c>
      <c r="I244" s="7">
        <v>45806</v>
      </c>
      <c r="J244" s="8" t="s">
        <v>20</v>
      </c>
      <c r="K244" s="8" t="s">
        <v>31</v>
      </c>
      <c r="L244" s="8" t="s">
        <v>22</v>
      </c>
      <c r="M244" s="8" t="s">
        <v>45</v>
      </c>
      <c r="N244" s="8">
        <v>45</v>
      </c>
      <c r="O244" s="8" t="s">
        <v>24</v>
      </c>
      <c r="P244" s="8" t="str">
        <f t="shared" si="6"/>
        <v>not valid</v>
      </c>
      <c r="Q244" s="8" t="str">
        <f t="shared" si="7"/>
        <v>Valid</v>
      </c>
    </row>
    <row r="245" spans="1:17" ht="13.8">
      <c r="A245" s="8" t="s">
        <v>289</v>
      </c>
      <c r="B245" s="8" t="s">
        <v>16</v>
      </c>
      <c r="C245" s="8" t="s">
        <v>27</v>
      </c>
      <c r="D245" s="7">
        <v>45879</v>
      </c>
      <c r="E245" s="7">
        <v>45873</v>
      </c>
      <c r="F245" s="8">
        <v>0</v>
      </c>
      <c r="G245" s="8" t="s">
        <v>34</v>
      </c>
      <c r="H245" s="8" t="s">
        <v>35</v>
      </c>
      <c r="I245" s="8" t="s">
        <v>546</v>
      </c>
      <c r="J245" s="8" t="s">
        <v>20</v>
      </c>
      <c r="K245" s="8" t="s">
        <v>21</v>
      </c>
      <c r="L245" s="8" t="s">
        <v>44</v>
      </c>
      <c r="M245" s="8" t="s">
        <v>45</v>
      </c>
      <c r="N245" s="8">
        <v>95</v>
      </c>
      <c r="O245" s="8" t="s">
        <v>46</v>
      </c>
      <c r="P245" s="8" t="str">
        <f t="shared" si="6"/>
        <v>not valid</v>
      </c>
      <c r="Q245" s="8" t="str">
        <f t="shared" si="7"/>
        <v>Valid</v>
      </c>
    </row>
    <row r="246" spans="1:17" ht="13.8">
      <c r="A246" s="8" t="s">
        <v>290</v>
      </c>
      <c r="B246" s="8" t="s">
        <v>38</v>
      </c>
      <c r="C246" s="8" t="s">
        <v>39</v>
      </c>
      <c r="D246" s="7">
        <v>45698</v>
      </c>
      <c r="E246" s="7">
        <v>45698</v>
      </c>
      <c r="F246" s="8">
        <v>0</v>
      </c>
      <c r="G246" s="8" t="s">
        <v>28</v>
      </c>
      <c r="H246" s="8" t="s">
        <v>35</v>
      </c>
      <c r="I246" s="8" t="s">
        <v>546</v>
      </c>
      <c r="J246" s="8" t="s">
        <v>20</v>
      </c>
      <c r="K246" s="8" t="s">
        <v>31</v>
      </c>
      <c r="L246" s="8" t="s">
        <v>41</v>
      </c>
      <c r="M246" s="8" t="s">
        <v>23</v>
      </c>
      <c r="N246" s="8">
        <v>48</v>
      </c>
      <c r="O246" s="8" t="s">
        <v>46</v>
      </c>
      <c r="P246" s="8" t="str">
        <f t="shared" si="6"/>
        <v>Valid</v>
      </c>
      <c r="Q246" s="8" t="str">
        <f t="shared" si="7"/>
        <v>Valid</v>
      </c>
    </row>
    <row r="247" spans="1:17" ht="13.8">
      <c r="A247" s="8" t="s">
        <v>291</v>
      </c>
      <c r="B247" s="8" t="s">
        <v>38</v>
      </c>
      <c r="C247" s="8" t="s">
        <v>27</v>
      </c>
      <c r="D247" s="7">
        <v>45799</v>
      </c>
      <c r="E247" s="7">
        <v>45838</v>
      </c>
      <c r="F247" s="8">
        <v>0</v>
      </c>
      <c r="G247" s="8" t="s">
        <v>34</v>
      </c>
      <c r="H247" s="8" t="s">
        <v>49</v>
      </c>
      <c r="I247" s="8" t="s">
        <v>546</v>
      </c>
      <c r="J247" s="8" t="s">
        <v>30</v>
      </c>
      <c r="K247" s="8" t="s">
        <v>31</v>
      </c>
      <c r="L247" s="8" t="s">
        <v>44</v>
      </c>
      <c r="M247" s="8" t="s">
        <v>32</v>
      </c>
      <c r="N247" s="8">
        <v>50</v>
      </c>
      <c r="O247" s="8" t="s">
        <v>52</v>
      </c>
      <c r="P247" s="8" t="str">
        <f t="shared" si="6"/>
        <v>Valid</v>
      </c>
      <c r="Q247" s="8" t="str">
        <f t="shared" si="7"/>
        <v>Valid</v>
      </c>
    </row>
    <row r="248" spans="1:17" ht="13.8">
      <c r="A248" s="8" t="s">
        <v>292</v>
      </c>
      <c r="B248" s="8" t="s">
        <v>51</v>
      </c>
      <c r="C248" s="8" t="s">
        <v>17</v>
      </c>
      <c r="D248" s="7">
        <v>45733</v>
      </c>
      <c r="E248" s="7">
        <v>45841</v>
      </c>
      <c r="F248" s="8">
        <v>2740</v>
      </c>
      <c r="G248" s="8" t="s">
        <v>18</v>
      </c>
      <c r="H248" s="8" t="s">
        <v>49</v>
      </c>
      <c r="I248" s="7">
        <v>45748</v>
      </c>
      <c r="J248" s="8" t="s">
        <v>20</v>
      </c>
      <c r="K248" s="8" t="s">
        <v>21</v>
      </c>
      <c r="L248" s="8" t="s">
        <v>22</v>
      </c>
      <c r="M248" s="8" t="s">
        <v>23</v>
      </c>
      <c r="N248" s="8">
        <v>85</v>
      </c>
      <c r="O248" s="8" t="s">
        <v>46</v>
      </c>
      <c r="P248" s="8" t="str">
        <f t="shared" si="6"/>
        <v>Valid</v>
      </c>
      <c r="Q248" s="8" t="str">
        <f t="shared" si="7"/>
        <v>Valid</v>
      </c>
    </row>
    <row r="249" spans="1:17" ht="13.8">
      <c r="A249" s="8" t="s">
        <v>293</v>
      </c>
      <c r="B249" s="8" t="s">
        <v>26</v>
      </c>
      <c r="C249" s="8" t="s">
        <v>39</v>
      </c>
      <c r="D249" s="7">
        <v>45735</v>
      </c>
      <c r="E249" s="7">
        <v>45735</v>
      </c>
      <c r="F249" s="8">
        <v>0</v>
      </c>
      <c r="G249" s="8" t="s">
        <v>28</v>
      </c>
      <c r="H249" s="8" t="s">
        <v>29</v>
      </c>
      <c r="I249" s="8" t="s">
        <v>546</v>
      </c>
      <c r="J249" s="8" t="s">
        <v>20</v>
      </c>
      <c r="K249" s="8" t="s">
        <v>31</v>
      </c>
      <c r="L249" s="8" t="s">
        <v>22</v>
      </c>
      <c r="M249" s="8" t="s">
        <v>23</v>
      </c>
      <c r="N249" s="8">
        <v>83</v>
      </c>
      <c r="O249" s="8" t="s">
        <v>46</v>
      </c>
      <c r="P249" s="8" t="str">
        <f t="shared" si="6"/>
        <v>Valid</v>
      </c>
      <c r="Q249" s="8" t="str">
        <f t="shared" si="7"/>
        <v>Valid</v>
      </c>
    </row>
    <row r="250" spans="1:17" ht="13.8">
      <c r="A250" s="8" t="s">
        <v>294</v>
      </c>
      <c r="B250" s="8" t="s">
        <v>16</v>
      </c>
      <c r="C250" s="8" t="s">
        <v>39</v>
      </c>
      <c r="D250" s="7">
        <v>45894</v>
      </c>
      <c r="E250" s="7">
        <v>45894</v>
      </c>
      <c r="F250" s="8">
        <v>0</v>
      </c>
      <c r="G250" s="8" t="s">
        <v>28</v>
      </c>
      <c r="H250" s="8" t="s">
        <v>49</v>
      </c>
      <c r="I250" s="8" t="s">
        <v>546</v>
      </c>
      <c r="J250" s="8" t="s">
        <v>20</v>
      </c>
      <c r="K250" s="8" t="s">
        <v>31</v>
      </c>
      <c r="L250" s="8" t="s">
        <v>44</v>
      </c>
      <c r="M250" s="8" t="s">
        <v>32</v>
      </c>
      <c r="N250" s="8">
        <v>65</v>
      </c>
      <c r="O250" s="8" t="s">
        <v>52</v>
      </c>
      <c r="P250" s="8" t="str">
        <f t="shared" si="6"/>
        <v>Valid</v>
      </c>
      <c r="Q250" s="8" t="str">
        <f t="shared" si="7"/>
        <v>Valid</v>
      </c>
    </row>
    <row r="251" spans="1:17" ht="13.8">
      <c r="A251" s="8" t="s">
        <v>295</v>
      </c>
      <c r="B251" s="8" t="s">
        <v>38</v>
      </c>
      <c r="C251" s="8" t="s">
        <v>27</v>
      </c>
      <c r="D251" s="7">
        <v>45929</v>
      </c>
      <c r="E251" s="7">
        <v>45817</v>
      </c>
      <c r="F251" s="8">
        <v>0</v>
      </c>
      <c r="G251" s="8" t="s">
        <v>48</v>
      </c>
      <c r="H251" s="8" t="s">
        <v>49</v>
      </c>
      <c r="I251" s="8" t="s">
        <v>546</v>
      </c>
      <c r="J251" s="8" t="s">
        <v>30</v>
      </c>
      <c r="K251" s="8" t="s">
        <v>21</v>
      </c>
      <c r="L251" s="8" t="s">
        <v>44</v>
      </c>
      <c r="M251" s="8" t="s">
        <v>32</v>
      </c>
      <c r="N251" s="8">
        <v>55</v>
      </c>
      <c r="O251" s="8" t="s">
        <v>46</v>
      </c>
      <c r="P251" s="8" t="str">
        <f t="shared" si="6"/>
        <v>not valid</v>
      </c>
      <c r="Q251" s="8" t="str">
        <f t="shared" si="7"/>
        <v>Valid</v>
      </c>
    </row>
    <row r="252" spans="1:17" ht="13.8">
      <c r="A252" s="8" t="s">
        <v>296</v>
      </c>
      <c r="B252" s="8" t="s">
        <v>16</v>
      </c>
      <c r="C252" s="8" t="s">
        <v>39</v>
      </c>
      <c r="D252" s="7">
        <v>45936</v>
      </c>
      <c r="E252" s="7">
        <v>45936</v>
      </c>
      <c r="F252" s="8">
        <v>0</v>
      </c>
      <c r="G252" s="8" t="s">
        <v>18</v>
      </c>
      <c r="H252" s="8" t="s">
        <v>49</v>
      </c>
      <c r="I252" s="8" t="s">
        <v>546</v>
      </c>
      <c r="J252" s="8" t="s">
        <v>30</v>
      </c>
      <c r="K252" s="8" t="s">
        <v>31</v>
      </c>
      <c r="L252" s="8" t="s">
        <v>41</v>
      </c>
      <c r="M252" s="8" t="s">
        <v>32</v>
      </c>
      <c r="N252" s="8">
        <v>69</v>
      </c>
      <c r="O252" s="8" t="s">
        <v>24</v>
      </c>
      <c r="P252" s="8" t="str">
        <f t="shared" si="6"/>
        <v>Valid</v>
      </c>
      <c r="Q252" s="8" t="str">
        <f t="shared" si="7"/>
        <v>Valid</v>
      </c>
    </row>
    <row r="253" spans="1:17" ht="13.8">
      <c r="A253" s="8" t="s">
        <v>297</v>
      </c>
      <c r="B253" s="8" t="s">
        <v>38</v>
      </c>
      <c r="C253" s="8" t="s">
        <v>39</v>
      </c>
      <c r="D253" s="7">
        <v>45930</v>
      </c>
      <c r="E253" s="7">
        <v>45930</v>
      </c>
      <c r="F253" s="8">
        <v>0</v>
      </c>
      <c r="G253" s="8" t="s">
        <v>18</v>
      </c>
      <c r="H253" s="8" t="s">
        <v>19</v>
      </c>
      <c r="I253" s="8" t="s">
        <v>546</v>
      </c>
      <c r="J253" s="8" t="s">
        <v>30</v>
      </c>
      <c r="K253" s="8" t="s">
        <v>21</v>
      </c>
      <c r="L253" s="8" t="s">
        <v>41</v>
      </c>
      <c r="M253" s="8" t="s">
        <v>45</v>
      </c>
      <c r="N253" s="8">
        <v>90</v>
      </c>
      <c r="O253" s="8" t="s">
        <v>24</v>
      </c>
      <c r="P253" s="8" t="str">
        <f t="shared" si="6"/>
        <v>Valid</v>
      </c>
      <c r="Q253" s="8" t="str">
        <f t="shared" si="7"/>
        <v>Valid</v>
      </c>
    </row>
    <row r="254" spans="1:17" ht="13.8">
      <c r="A254" s="8" t="s">
        <v>298</v>
      </c>
      <c r="B254" s="8" t="s">
        <v>51</v>
      </c>
      <c r="C254" s="8" t="s">
        <v>39</v>
      </c>
      <c r="D254" s="7">
        <v>45755</v>
      </c>
      <c r="E254" s="7">
        <v>45755</v>
      </c>
      <c r="F254" s="8">
        <v>0</v>
      </c>
      <c r="G254" s="8" t="s">
        <v>34</v>
      </c>
      <c r="H254" s="8" t="s">
        <v>49</v>
      </c>
      <c r="I254" s="8" t="s">
        <v>546</v>
      </c>
      <c r="J254" s="8" t="s">
        <v>30</v>
      </c>
      <c r="K254" s="8" t="s">
        <v>40</v>
      </c>
      <c r="L254" s="8" t="s">
        <v>44</v>
      </c>
      <c r="M254" s="8" t="s">
        <v>23</v>
      </c>
      <c r="N254" s="8">
        <v>59</v>
      </c>
      <c r="O254" s="8" t="s">
        <v>52</v>
      </c>
      <c r="P254" s="8" t="str">
        <f t="shared" si="6"/>
        <v>Valid</v>
      </c>
      <c r="Q254" s="8" t="str">
        <f t="shared" si="7"/>
        <v>Valid</v>
      </c>
    </row>
    <row r="255" spans="1:17" ht="13.8">
      <c r="A255" s="8" t="s">
        <v>299</v>
      </c>
      <c r="B255" s="8" t="s">
        <v>38</v>
      </c>
      <c r="C255" s="8" t="s">
        <v>17</v>
      </c>
      <c r="D255" s="7">
        <v>45700</v>
      </c>
      <c r="E255" s="7">
        <v>45714</v>
      </c>
      <c r="F255" s="8">
        <v>2031</v>
      </c>
      <c r="G255" s="8" t="s">
        <v>18</v>
      </c>
      <c r="H255" s="8" t="s">
        <v>29</v>
      </c>
      <c r="I255" s="7">
        <v>45738</v>
      </c>
      <c r="J255" s="8" t="s">
        <v>20</v>
      </c>
      <c r="K255" s="8" t="s">
        <v>43</v>
      </c>
      <c r="L255" s="8" t="s">
        <v>547</v>
      </c>
      <c r="M255" s="8" t="s">
        <v>23</v>
      </c>
      <c r="N255" s="8">
        <v>95</v>
      </c>
      <c r="O255" s="8" t="s">
        <v>24</v>
      </c>
      <c r="P255" s="8" t="str">
        <f t="shared" si="6"/>
        <v>Valid</v>
      </c>
      <c r="Q255" s="8" t="str">
        <f t="shared" si="7"/>
        <v>Valid</v>
      </c>
    </row>
    <row r="256" spans="1:17" ht="13.8">
      <c r="A256" s="8" t="s">
        <v>300</v>
      </c>
      <c r="B256" s="8" t="s">
        <v>38</v>
      </c>
      <c r="C256" s="8" t="s">
        <v>39</v>
      </c>
      <c r="D256" s="7">
        <v>45897</v>
      </c>
      <c r="E256" s="7">
        <v>45897</v>
      </c>
      <c r="F256" s="8">
        <v>0</v>
      </c>
      <c r="G256" s="8" t="s">
        <v>18</v>
      </c>
      <c r="H256" s="8" t="s">
        <v>19</v>
      </c>
      <c r="I256" s="8" t="s">
        <v>546</v>
      </c>
      <c r="J256" s="8" t="s">
        <v>30</v>
      </c>
      <c r="K256" s="8" t="s">
        <v>43</v>
      </c>
      <c r="L256" s="8" t="s">
        <v>27</v>
      </c>
      <c r="M256" s="8" t="s">
        <v>45</v>
      </c>
      <c r="N256" s="8">
        <v>93</v>
      </c>
      <c r="O256" s="8" t="s">
        <v>52</v>
      </c>
      <c r="P256" s="8" t="str">
        <f t="shared" si="6"/>
        <v>Valid</v>
      </c>
      <c r="Q256" s="8" t="str">
        <f t="shared" si="7"/>
        <v>Valid</v>
      </c>
    </row>
    <row r="257" spans="1:17" ht="13.8">
      <c r="A257" s="8" t="s">
        <v>301</v>
      </c>
      <c r="B257" s="8" t="s">
        <v>38</v>
      </c>
      <c r="C257" s="8" t="s">
        <v>17</v>
      </c>
      <c r="D257" s="7">
        <v>45901</v>
      </c>
      <c r="E257" s="7">
        <v>45885</v>
      </c>
      <c r="F257" s="8">
        <v>4447</v>
      </c>
      <c r="G257" s="8" t="s">
        <v>48</v>
      </c>
      <c r="H257" s="8" t="s">
        <v>35</v>
      </c>
      <c r="I257" s="7">
        <v>45863</v>
      </c>
      <c r="J257" s="8" t="s">
        <v>30</v>
      </c>
      <c r="K257" s="8" t="s">
        <v>21</v>
      </c>
      <c r="L257" s="8" t="s">
        <v>547</v>
      </c>
      <c r="M257" s="8" t="s">
        <v>36</v>
      </c>
      <c r="N257" s="8">
        <v>90</v>
      </c>
      <c r="O257" s="8" t="s">
        <v>52</v>
      </c>
      <c r="P257" s="8" t="str">
        <f t="shared" si="6"/>
        <v>not valid</v>
      </c>
      <c r="Q257" s="8" t="str">
        <f t="shared" si="7"/>
        <v>Not valid</v>
      </c>
    </row>
    <row r="258" spans="1:17" ht="13.8">
      <c r="A258" s="8" t="s">
        <v>302</v>
      </c>
      <c r="B258" s="8" t="s">
        <v>38</v>
      </c>
      <c r="C258" s="8" t="s">
        <v>27</v>
      </c>
      <c r="D258" s="7">
        <v>45930</v>
      </c>
      <c r="E258" s="7">
        <v>45782</v>
      </c>
      <c r="F258" s="8">
        <v>0</v>
      </c>
      <c r="G258" s="8" t="s">
        <v>28</v>
      </c>
      <c r="H258" s="8" t="s">
        <v>19</v>
      </c>
      <c r="I258" s="8" t="s">
        <v>546</v>
      </c>
      <c r="J258" s="8" t="s">
        <v>20</v>
      </c>
      <c r="K258" s="8" t="s">
        <v>40</v>
      </c>
      <c r="L258" s="8" t="s">
        <v>22</v>
      </c>
      <c r="M258" s="8" t="s">
        <v>36</v>
      </c>
      <c r="N258" s="8">
        <v>89</v>
      </c>
      <c r="O258" s="8" t="s">
        <v>46</v>
      </c>
      <c r="P258" s="8" t="str">
        <f t="shared" ref="P258:P321" si="8">IF(OR(D258&lt;E258,D258=E258), "Valid","not valid")</f>
        <v>not valid</v>
      </c>
      <c r="Q258" s="8" t="str">
        <f t="shared" ref="Q258:Q321" si="9">IF(OR(D258 &lt;I258,D258=I258),"Valid","Not valid")</f>
        <v>Valid</v>
      </c>
    </row>
    <row r="259" spans="1:17" ht="13.8">
      <c r="A259" s="8" t="s">
        <v>303</v>
      </c>
      <c r="B259" s="8" t="s">
        <v>26</v>
      </c>
      <c r="C259" s="8" t="s">
        <v>17</v>
      </c>
      <c r="D259" s="7">
        <v>45933</v>
      </c>
      <c r="E259" s="7">
        <v>45756</v>
      </c>
      <c r="F259" s="8">
        <v>3284</v>
      </c>
      <c r="G259" s="8" t="s">
        <v>34</v>
      </c>
      <c r="H259" s="8" t="s">
        <v>49</v>
      </c>
      <c r="I259" s="7">
        <v>45750</v>
      </c>
      <c r="J259" s="8" t="s">
        <v>20</v>
      </c>
      <c r="K259" s="8" t="s">
        <v>31</v>
      </c>
      <c r="L259" s="8" t="s">
        <v>547</v>
      </c>
      <c r="M259" s="8" t="s">
        <v>32</v>
      </c>
      <c r="N259" s="8">
        <v>42</v>
      </c>
      <c r="O259" s="8" t="s">
        <v>24</v>
      </c>
      <c r="P259" s="8" t="str">
        <f t="shared" si="8"/>
        <v>not valid</v>
      </c>
      <c r="Q259" s="8" t="str">
        <f t="shared" si="9"/>
        <v>Not valid</v>
      </c>
    </row>
    <row r="260" spans="1:17" ht="13.8">
      <c r="A260" s="8" t="s">
        <v>304</v>
      </c>
      <c r="B260" s="8" t="s">
        <v>16</v>
      </c>
      <c r="C260" s="8" t="s">
        <v>27</v>
      </c>
      <c r="D260" s="7">
        <v>45849</v>
      </c>
      <c r="E260" s="7">
        <v>45802</v>
      </c>
      <c r="F260" s="8">
        <v>0</v>
      </c>
      <c r="G260" s="8" t="s">
        <v>18</v>
      </c>
      <c r="H260" s="8" t="s">
        <v>29</v>
      </c>
      <c r="I260" s="8" t="s">
        <v>546</v>
      </c>
      <c r="J260" s="8" t="s">
        <v>20</v>
      </c>
      <c r="K260" s="8" t="s">
        <v>40</v>
      </c>
      <c r="L260" s="8" t="s">
        <v>44</v>
      </c>
      <c r="M260" s="8" t="s">
        <v>23</v>
      </c>
      <c r="N260" s="8">
        <v>72</v>
      </c>
      <c r="O260" s="8" t="s">
        <v>24</v>
      </c>
      <c r="P260" s="8" t="str">
        <f t="shared" si="8"/>
        <v>not valid</v>
      </c>
      <c r="Q260" s="8" t="str">
        <f t="shared" si="9"/>
        <v>Valid</v>
      </c>
    </row>
    <row r="261" spans="1:17" ht="13.8">
      <c r="A261" s="8" t="s">
        <v>305</v>
      </c>
      <c r="B261" s="8" t="s">
        <v>38</v>
      </c>
      <c r="C261" s="8" t="s">
        <v>17</v>
      </c>
      <c r="D261" s="7">
        <v>45783</v>
      </c>
      <c r="E261" s="7">
        <v>45851</v>
      </c>
      <c r="F261" s="8">
        <v>2219</v>
      </c>
      <c r="G261" s="8" t="s">
        <v>34</v>
      </c>
      <c r="H261" s="8" t="s">
        <v>35</v>
      </c>
      <c r="I261" s="7">
        <v>45737</v>
      </c>
      <c r="J261" s="8" t="s">
        <v>30</v>
      </c>
      <c r="K261" s="8" t="s">
        <v>21</v>
      </c>
      <c r="L261" s="8" t="s">
        <v>548</v>
      </c>
      <c r="M261" s="8" t="s">
        <v>45</v>
      </c>
      <c r="N261" s="8">
        <v>86</v>
      </c>
      <c r="O261" s="8" t="s">
        <v>24</v>
      </c>
      <c r="P261" s="8" t="str">
        <f t="shared" si="8"/>
        <v>Valid</v>
      </c>
      <c r="Q261" s="8" t="str">
        <f t="shared" si="9"/>
        <v>Not valid</v>
      </c>
    </row>
    <row r="262" spans="1:17" ht="13.8">
      <c r="A262" s="8" t="s">
        <v>306</v>
      </c>
      <c r="B262" s="8" t="s">
        <v>51</v>
      </c>
      <c r="C262" s="8" t="s">
        <v>17</v>
      </c>
      <c r="D262" s="7">
        <v>45758</v>
      </c>
      <c r="E262" s="7">
        <v>45885</v>
      </c>
      <c r="F262" s="8">
        <v>2929</v>
      </c>
      <c r="G262" s="8" t="s">
        <v>18</v>
      </c>
      <c r="H262" s="8" t="s">
        <v>19</v>
      </c>
      <c r="I262" s="7">
        <v>45741</v>
      </c>
      <c r="J262" s="8" t="s">
        <v>20</v>
      </c>
      <c r="K262" s="8" t="s">
        <v>40</v>
      </c>
      <c r="L262" s="8" t="s">
        <v>22</v>
      </c>
      <c r="M262" s="8" t="s">
        <v>23</v>
      </c>
      <c r="N262" s="8">
        <v>32</v>
      </c>
      <c r="O262" s="8" t="s">
        <v>52</v>
      </c>
      <c r="P262" s="8" t="str">
        <f t="shared" si="8"/>
        <v>Valid</v>
      </c>
      <c r="Q262" s="8" t="str">
        <f t="shared" si="9"/>
        <v>Not valid</v>
      </c>
    </row>
    <row r="263" spans="1:17" ht="13.8">
      <c r="A263" s="8" t="s">
        <v>307</v>
      </c>
      <c r="B263" s="8" t="s">
        <v>16</v>
      </c>
      <c r="C263" s="8" t="s">
        <v>17</v>
      </c>
      <c r="D263" s="7">
        <v>45694</v>
      </c>
      <c r="E263" s="7">
        <v>45695</v>
      </c>
      <c r="F263" s="8">
        <v>4048</v>
      </c>
      <c r="G263" s="8" t="s">
        <v>34</v>
      </c>
      <c r="H263" s="8" t="s">
        <v>49</v>
      </c>
      <c r="I263" s="7">
        <v>45658</v>
      </c>
      <c r="J263" s="8" t="s">
        <v>30</v>
      </c>
      <c r="K263" s="8" t="s">
        <v>43</v>
      </c>
      <c r="L263" s="8" t="s">
        <v>27</v>
      </c>
      <c r="M263" s="8" t="s">
        <v>32</v>
      </c>
      <c r="N263" s="8">
        <v>49</v>
      </c>
      <c r="O263" s="8" t="s">
        <v>24</v>
      </c>
      <c r="P263" s="8" t="str">
        <f t="shared" si="8"/>
        <v>Valid</v>
      </c>
      <c r="Q263" s="8" t="str">
        <f t="shared" si="9"/>
        <v>Not valid</v>
      </c>
    </row>
    <row r="264" spans="1:17" ht="13.8">
      <c r="A264" s="8" t="s">
        <v>308</v>
      </c>
      <c r="B264" s="8" t="s">
        <v>38</v>
      </c>
      <c r="C264" s="8" t="s">
        <v>17</v>
      </c>
      <c r="D264" s="9">
        <v>45946</v>
      </c>
      <c r="E264" s="7">
        <v>45937</v>
      </c>
      <c r="F264" s="8">
        <v>4221</v>
      </c>
      <c r="G264" s="8" t="s">
        <v>18</v>
      </c>
      <c r="H264" s="8" t="s">
        <v>29</v>
      </c>
      <c r="I264" s="7">
        <v>45687</v>
      </c>
      <c r="J264" s="8" t="s">
        <v>20</v>
      </c>
      <c r="K264" s="8" t="s">
        <v>40</v>
      </c>
      <c r="L264" s="8" t="s">
        <v>548</v>
      </c>
      <c r="M264" s="8" t="s">
        <v>45</v>
      </c>
      <c r="N264" s="8">
        <v>33</v>
      </c>
      <c r="O264" s="8" t="s">
        <v>24</v>
      </c>
      <c r="P264" s="8" t="str">
        <f t="shared" si="8"/>
        <v>not valid</v>
      </c>
      <c r="Q264" s="8" t="str">
        <f t="shared" si="9"/>
        <v>Not valid</v>
      </c>
    </row>
    <row r="265" spans="1:17" ht="13.8">
      <c r="A265" s="8" t="s">
        <v>309</v>
      </c>
      <c r="B265" s="8" t="s">
        <v>16</v>
      </c>
      <c r="C265" s="8" t="s">
        <v>27</v>
      </c>
      <c r="D265" s="7">
        <v>45850</v>
      </c>
      <c r="E265" s="7">
        <v>45830</v>
      </c>
      <c r="F265" s="8">
        <v>0</v>
      </c>
      <c r="G265" s="8" t="s">
        <v>34</v>
      </c>
      <c r="H265" s="8" t="s">
        <v>49</v>
      </c>
      <c r="I265" s="8" t="s">
        <v>546</v>
      </c>
      <c r="J265" s="8" t="s">
        <v>30</v>
      </c>
      <c r="K265" s="8" t="s">
        <v>40</v>
      </c>
      <c r="L265" s="8" t="s">
        <v>44</v>
      </c>
      <c r="M265" s="8" t="s">
        <v>32</v>
      </c>
      <c r="N265" s="8">
        <v>72</v>
      </c>
      <c r="O265" s="8" t="s">
        <v>24</v>
      </c>
      <c r="P265" s="8" t="str">
        <f t="shared" si="8"/>
        <v>not valid</v>
      </c>
      <c r="Q265" s="8" t="str">
        <f t="shared" si="9"/>
        <v>Valid</v>
      </c>
    </row>
    <row r="266" spans="1:17" ht="13.8">
      <c r="A266" s="8" t="s">
        <v>310</v>
      </c>
      <c r="B266" s="8" t="s">
        <v>51</v>
      </c>
      <c r="C266" s="8" t="s">
        <v>39</v>
      </c>
      <c r="D266" s="7">
        <v>45755</v>
      </c>
      <c r="E266" s="7">
        <v>45755</v>
      </c>
      <c r="F266" s="8">
        <v>0</v>
      </c>
      <c r="G266" s="8" t="s">
        <v>18</v>
      </c>
      <c r="H266" s="8" t="s">
        <v>19</v>
      </c>
      <c r="I266" s="8" t="s">
        <v>546</v>
      </c>
      <c r="J266" s="8" t="s">
        <v>30</v>
      </c>
      <c r="K266" s="8" t="s">
        <v>31</v>
      </c>
      <c r="L266" s="8" t="s">
        <v>22</v>
      </c>
      <c r="M266" s="8" t="s">
        <v>45</v>
      </c>
      <c r="N266" s="8">
        <v>81</v>
      </c>
      <c r="O266" s="8" t="s">
        <v>46</v>
      </c>
      <c r="P266" s="8" t="str">
        <f t="shared" si="8"/>
        <v>Valid</v>
      </c>
      <c r="Q266" s="8" t="str">
        <f t="shared" si="9"/>
        <v>Valid</v>
      </c>
    </row>
    <row r="267" spans="1:17" ht="13.8">
      <c r="A267" s="8" t="s">
        <v>311</v>
      </c>
      <c r="B267" s="8" t="s">
        <v>26</v>
      </c>
      <c r="C267" s="8" t="s">
        <v>27</v>
      </c>
      <c r="D267" s="7">
        <v>45892</v>
      </c>
      <c r="E267" s="7">
        <v>45841</v>
      </c>
      <c r="F267" s="8">
        <v>0</v>
      </c>
      <c r="G267" s="8" t="s">
        <v>48</v>
      </c>
      <c r="H267" s="8" t="s">
        <v>29</v>
      </c>
      <c r="I267" s="8" t="s">
        <v>546</v>
      </c>
      <c r="J267" s="8" t="s">
        <v>30</v>
      </c>
      <c r="K267" s="8" t="s">
        <v>43</v>
      </c>
      <c r="L267" s="8" t="s">
        <v>27</v>
      </c>
      <c r="M267" s="8" t="s">
        <v>45</v>
      </c>
      <c r="N267" s="8">
        <v>83</v>
      </c>
      <c r="O267" s="8" t="s">
        <v>24</v>
      </c>
      <c r="P267" s="8" t="str">
        <f t="shared" si="8"/>
        <v>not valid</v>
      </c>
      <c r="Q267" s="8" t="str">
        <f t="shared" si="9"/>
        <v>Valid</v>
      </c>
    </row>
    <row r="268" spans="1:17" ht="13.8">
      <c r="A268" s="8" t="s">
        <v>312</v>
      </c>
      <c r="B268" s="8" t="s">
        <v>16</v>
      </c>
      <c r="C268" s="8" t="s">
        <v>17</v>
      </c>
      <c r="D268" s="7">
        <v>45715</v>
      </c>
      <c r="E268" s="7">
        <v>45822</v>
      </c>
      <c r="F268" s="8">
        <v>3713</v>
      </c>
      <c r="G268" s="8" t="s">
        <v>48</v>
      </c>
      <c r="H268" s="8" t="s">
        <v>35</v>
      </c>
      <c r="I268" s="9">
        <v>45944</v>
      </c>
      <c r="J268" s="8" t="s">
        <v>30</v>
      </c>
      <c r="K268" s="8" t="s">
        <v>31</v>
      </c>
      <c r="L268" s="8" t="s">
        <v>548</v>
      </c>
      <c r="M268" s="8" t="s">
        <v>23</v>
      </c>
      <c r="N268" s="8">
        <v>86</v>
      </c>
      <c r="O268" s="8" t="s">
        <v>52</v>
      </c>
      <c r="P268" s="8" t="str">
        <f t="shared" si="8"/>
        <v>Valid</v>
      </c>
      <c r="Q268" s="8" t="str">
        <f t="shared" si="9"/>
        <v>Valid</v>
      </c>
    </row>
    <row r="269" spans="1:17" ht="13.8">
      <c r="A269" s="8" t="s">
        <v>313</v>
      </c>
      <c r="B269" s="8" t="s">
        <v>51</v>
      </c>
      <c r="C269" s="8" t="s">
        <v>27</v>
      </c>
      <c r="D269" s="7">
        <v>45760</v>
      </c>
      <c r="E269" s="7">
        <v>45708</v>
      </c>
      <c r="F269" s="8">
        <v>0</v>
      </c>
      <c r="G269" s="8" t="s">
        <v>34</v>
      </c>
      <c r="H269" s="8" t="s">
        <v>19</v>
      </c>
      <c r="I269" s="8" t="s">
        <v>546</v>
      </c>
      <c r="J269" s="8" t="s">
        <v>30</v>
      </c>
      <c r="K269" s="8" t="s">
        <v>43</v>
      </c>
      <c r="L269" s="8" t="s">
        <v>27</v>
      </c>
      <c r="M269" s="8" t="s">
        <v>36</v>
      </c>
      <c r="N269" s="8">
        <v>91</v>
      </c>
      <c r="O269" s="8" t="s">
        <v>52</v>
      </c>
      <c r="P269" s="8" t="str">
        <f t="shared" si="8"/>
        <v>not valid</v>
      </c>
      <c r="Q269" s="8" t="str">
        <f t="shared" si="9"/>
        <v>Valid</v>
      </c>
    </row>
    <row r="270" spans="1:17" ht="13.8">
      <c r="A270" s="8" t="s">
        <v>314</v>
      </c>
      <c r="B270" s="8" t="s">
        <v>16</v>
      </c>
      <c r="C270" s="8" t="s">
        <v>27</v>
      </c>
      <c r="D270" s="7">
        <v>45679</v>
      </c>
      <c r="E270" s="7">
        <v>45742</v>
      </c>
      <c r="F270" s="8">
        <v>0</v>
      </c>
      <c r="G270" s="8" t="s">
        <v>18</v>
      </c>
      <c r="H270" s="8" t="s">
        <v>19</v>
      </c>
      <c r="I270" s="8" t="s">
        <v>546</v>
      </c>
      <c r="J270" s="8" t="s">
        <v>30</v>
      </c>
      <c r="K270" s="8" t="s">
        <v>43</v>
      </c>
      <c r="L270" s="8" t="s">
        <v>41</v>
      </c>
      <c r="M270" s="8" t="s">
        <v>45</v>
      </c>
      <c r="N270" s="8">
        <v>35</v>
      </c>
      <c r="O270" s="8" t="s">
        <v>46</v>
      </c>
      <c r="P270" s="8" t="str">
        <f t="shared" si="8"/>
        <v>Valid</v>
      </c>
      <c r="Q270" s="8" t="str">
        <f t="shared" si="9"/>
        <v>Valid</v>
      </c>
    </row>
    <row r="271" spans="1:17" ht="13.8">
      <c r="A271" s="8" t="s">
        <v>315</v>
      </c>
      <c r="B271" s="8" t="s">
        <v>26</v>
      </c>
      <c r="C271" s="8" t="s">
        <v>17</v>
      </c>
      <c r="D271" s="7">
        <v>45766</v>
      </c>
      <c r="E271" s="7">
        <v>45741</v>
      </c>
      <c r="F271" s="8">
        <v>3791</v>
      </c>
      <c r="G271" s="8" t="s">
        <v>28</v>
      </c>
      <c r="H271" s="8" t="s">
        <v>35</v>
      </c>
      <c r="I271" s="7">
        <v>45885</v>
      </c>
      <c r="J271" s="8" t="s">
        <v>20</v>
      </c>
      <c r="K271" s="8" t="s">
        <v>40</v>
      </c>
      <c r="L271" s="8" t="s">
        <v>22</v>
      </c>
      <c r="M271" s="8" t="s">
        <v>32</v>
      </c>
      <c r="N271" s="8">
        <v>62</v>
      </c>
      <c r="O271" s="8" t="s">
        <v>24</v>
      </c>
      <c r="P271" s="8" t="str">
        <f t="shared" si="8"/>
        <v>not valid</v>
      </c>
      <c r="Q271" s="8" t="str">
        <f t="shared" si="9"/>
        <v>Valid</v>
      </c>
    </row>
    <row r="272" spans="1:17" ht="13.8">
      <c r="A272" s="8" t="s">
        <v>316</v>
      </c>
      <c r="B272" s="8" t="s">
        <v>26</v>
      </c>
      <c r="C272" s="8" t="s">
        <v>17</v>
      </c>
      <c r="D272" s="7">
        <v>45676</v>
      </c>
      <c r="E272" s="7">
        <v>45659</v>
      </c>
      <c r="F272" s="8">
        <v>3753</v>
      </c>
      <c r="G272" s="8" t="s">
        <v>18</v>
      </c>
      <c r="H272" s="8" t="s">
        <v>49</v>
      </c>
      <c r="I272" s="7">
        <v>45868</v>
      </c>
      <c r="J272" s="8" t="s">
        <v>30</v>
      </c>
      <c r="K272" s="8" t="s">
        <v>43</v>
      </c>
      <c r="L272" s="8" t="s">
        <v>547</v>
      </c>
      <c r="M272" s="8" t="s">
        <v>36</v>
      </c>
      <c r="N272" s="8">
        <v>50</v>
      </c>
      <c r="O272" s="8" t="s">
        <v>24</v>
      </c>
      <c r="P272" s="8" t="str">
        <f t="shared" si="8"/>
        <v>not valid</v>
      </c>
      <c r="Q272" s="8" t="str">
        <f t="shared" si="9"/>
        <v>Valid</v>
      </c>
    </row>
    <row r="273" spans="1:17" ht="13.8">
      <c r="A273" s="8" t="s">
        <v>317</v>
      </c>
      <c r="B273" s="8" t="s">
        <v>16</v>
      </c>
      <c r="C273" s="8" t="s">
        <v>27</v>
      </c>
      <c r="D273" s="7">
        <v>45763</v>
      </c>
      <c r="E273" s="7">
        <v>45826</v>
      </c>
      <c r="F273" s="8">
        <v>0</v>
      </c>
      <c r="G273" s="8" t="s">
        <v>18</v>
      </c>
      <c r="H273" s="8" t="s">
        <v>49</v>
      </c>
      <c r="I273" s="8" t="s">
        <v>546</v>
      </c>
      <c r="J273" s="8" t="s">
        <v>30</v>
      </c>
      <c r="K273" s="8" t="s">
        <v>43</v>
      </c>
      <c r="L273" s="8" t="s">
        <v>22</v>
      </c>
      <c r="M273" s="8" t="s">
        <v>32</v>
      </c>
      <c r="N273" s="8">
        <v>56</v>
      </c>
      <c r="O273" s="8" t="s">
        <v>46</v>
      </c>
      <c r="P273" s="8" t="str">
        <f t="shared" si="8"/>
        <v>Valid</v>
      </c>
      <c r="Q273" s="8" t="str">
        <f t="shared" si="9"/>
        <v>Valid</v>
      </c>
    </row>
    <row r="274" spans="1:17" ht="13.8">
      <c r="A274" s="8" t="s">
        <v>318</v>
      </c>
      <c r="B274" s="8" t="s">
        <v>26</v>
      </c>
      <c r="C274" s="8" t="s">
        <v>17</v>
      </c>
      <c r="D274" s="7">
        <v>45760</v>
      </c>
      <c r="E274" s="7">
        <v>45792</v>
      </c>
      <c r="F274" s="8">
        <v>2330</v>
      </c>
      <c r="G274" s="8" t="s">
        <v>18</v>
      </c>
      <c r="H274" s="8" t="s">
        <v>19</v>
      </c>
      <c r="I274" s="7">
        <v>45841</v>
      </c>
      <c r="J274" s="8" t="s">
        <v>20</v>
      </c>
      <c r="K274" s="8" t="s">
        <v>21</v>
      </c>
      <c r="L274" s="8" t="s">
        <v>548</v>
      </c>
      <c r="M274" s="8" t="s">
        <v>32</v>
      </c>
      <c r="N274" s="8">
        <v>39</v>
      </c>
      <c r="O274" s="8" t="s">
        <v>24</v>
      </c>
      <c r="P274" s="8" t="str">
        <f t="shared" si="8"/>
        <v>Valid</v>
      </c>
      <c r="Q274" s="8" t="str">
        <f t="shared" si="9"/>
        <v>Valid</v>
      </c>
    </row>
    <row r="275" spans="1:17" ht="13.8">
      <c r="A275" s="8" t="s">
        <v>319</v>
      </c>
      <c r="B275" s="8" t="s">
        <v>51</v>
      </c>
      <c r="C275" s="8" t="s">
        <v>17</v>
      </c>
      <c r="D275" s="7">
        <v>45719</v>
      </c>
      <c r="E275" s="7">
        <v>45807</v>
      </c>
      <c r="F275" s="8">
        <v>4920</v>
      </c>
      <c r="G275" s="8" t="s">
        <v>18</v>
      </c>
      <c r="H275" s="8" t="s">
        <v>29</v>
      </c>
      <c r="I275" s="7">
        <v>45707</v>
      </c>
      <c r="J275" s="8" t="s">
        <v>30</v>
      </c>
      <c r="K275" s="8" t="s">
        <v>21</v>
      </c>
      <c r="L275" s="8" t="s">
        <v>548</v>
      </c>
      <c r="M275" s="8" t="s">
        <v>23</v>
      </c>
      <c r="N275" s="8">
        <v>92</v>
      </c>
      <c r="O275" s="8" t="s">
        <v>52</v>
      </c>
      <c r="P275" s="8" t="str">
        <f t="shared" si="8"/>
        <v>Valid</v>
      </c>
      <c r="Q275" s="8" t="str">
        <f t="shared" si="9"/>
        <v>Not valid</v>
      </c>
    </row>
    <row r="276" spans="1:17" ht="13.8">
      <c r="A276" s="8" t="s">
        <v>320</v>
      </c>
      <c r="B276" s="8" t="s">
        <v>38</v>
      </c>
      <c r="C276" s="8" t="s">
        <v>27</v>
      </c>
      <c r="D276" s="7">
        <v>45730</v>
      </c>
      <c r="E276" s="7">
        <v>45906</v>
      </c>
      <c r="F276" s="8">
        <v>0</v>
      </c>
      <c r="G276" s="8" t="s">
        <v>48</v>
      </c>
      <c r="H276" s="8" t="s">
        <v>35</v>
      </c>
      <c r="I276" s="8" t="s">
        <v>546</v>
      </c>
      <c r="J276" s="8" t="s">
        <v>20</v>
      </c>
      <c r="K276" s="8" t="s">
        <v>31</v>
      </c>
      <c r="L276" s="8" t="s">
        <v>41</v>
      </c>
      <c r="M276" s="8" t="s">
        <v>32</v>
      </c>
      <c r="N276" s="8">
        <v>88</v>
      </c>
      <c r="O276" s="8" t="s">
        <v>52</v>
      </c>
      <c r="P276" s="8" t="str">
        <f t="shared" si="8"/>
        <v>Valid</v>
      </c>
      <c r="Q276" s="8" t="str">
        <f t="shared" si="9"/>
        <v>Valid</v>
      </c>
    </row>
    <row r="277" spans="1:17" ht="13.8">
      <c r="A277" s="8" t="s">
        <v>321</v>
      </c>
      <c r="B277" s="8" t="s">
        <v>16</v>
      </c>
      <c r="C277" s="8" t="s">
        <v>39</v>
      </c>
      <c r="D277" s="7">
        <v>45666</v>
      </c>
      <c r="E277" s="7">
        <v>45666</v>
      </c>
      <c r="F277" s="8">
        <v>0</v>
      </c>
      <c r="G277" s="8" t="s">
        <v>34</v>
      </c>
      <c r="H277" s="8" t="s">
        <v>49</v>
      </c>
      <c r="I277" s="8" t="s">
        <v>546</v>
      </c>
      <c r="J277" s="8" t="s">
        <v>30</v>
      </c>
      <c r="K277" s="8" t="s">
        <v>40</v>
      </c>
      <c r="L277" s="8" t="s">
        <v>41</v>
      </c>
      <c r="M277" s="8" t="s">
        <v>23</v>
      </c>
      <c r="N277" s="8">
        <v>86</v>
      </c>
      <c r="O277" s="8" t="s">
        <v>24</v>
      </c>
      <c r="P277" s="8" t="str">
        <f t="shared" si="8"/>
        <v>Valid</v>
      </c>
      <c r="Q277" s="8" t="str">
        <f t="shared" si="9"/>
        <v>Valid</v>
      </c>
    </row>
    <row r="278" spans="1:17" ht="13.8">
      <c r="A278" s="8" t="s">
        <v>322</v>
      </c>
      <c r="B278" s="8" t="s">
        <v>51</v>
      </c>
      <c r="C278" s="8" t="s">
        <v>39</v>
      </c>
      <c r="D278" s="7">
        <v>45852</v>
      </c>
      <c r="E278" s="7">
        <v>45852</v>
      </c>
      <c r="F278" s="8">
        <v>0</v>
      </c>
      <c r="G278" s="8" t="s">
        <v>28</v>
      </c>
      <c r="H278" s="8" t="s">
        <v>49</v>
      </c>
      <c r="I278" s="8" t="s">
        <v>546</v>
      </c>
      <c r="J278" s="8" t="s">
        <v>30</v>
      </c>
      <c r="K278" s="8" t="s">
        <v>21</v>
      </c>
      <c r="L278" s="8" t="s">
        <v>27</v>
      </c>
      <c r="M278" s="8" t="s">
        <v>23</v>
      </c>
      <c r="N278" s="8">
        <v>50</v>
      </c>
      <c r="O278" s="8" t="s">
        <v>24</v>
      </c>
      <c r="P278" s="8" t="str">
        <f t="shared" si="8"/>
        <v>Valid</v>
      </c>
      <c r="Q278" s="8" t="str">
        <f t="shared" si="9"/>
        <v>Valid</v>
      </c>
    </row>
    <row r="279" spans="1:17" ht="13.8">
      <c r="A279" s="8" t="s">
        <v>323</v>
      </c>
      <c r="B279" s="8" t="s">
        <v>38</v>
      </c>
      <c r="C279" s="8" t="s">
        <v>17</v>
      </c>
      <c r="D279" s="7">
        <v>45814</v>
      </c>
      <c r="E279" s="9">
        <v>45942</v>
      </c>
      <c r="F279" s="8">
        <v>3272</v>
      </c>
      <c r="G279" s="8" t="s">
        <v>48</v>
      </c>
      <c r="H279" s="8" t="s">
        <v>19</v>
      </c>
      <c r="I279" s="7">
        <v>45750</v>
      </c>
      <c r="J279" s="8" t="s">
        <v>20</v>
      </c>
      <c r="K279" s="8" t="s">
        <v>31</v>
      </c>
      <c r="L279" s="8" t="s">
        <v>547</v>
      </c>
      <c r="M279" s="8" t="s">
        <v>45</v>
      </c>
      <c r="N279" s="8">
        <v>57</v>
      </c>
      <c r="O279" s="8" t="s">
        <v>24</v>
      </c>
      <c r="P279" s="8" t="str">
        <f t="shared" si="8"/>
        <v>Valid</v>
      </c>
      <c r="Q279" s="8" t="str">
        <f t="shared" si="9"/>
        <v>Not valid</v>
      </c>
    </row>
    <row r="280" spans="1:17" ht="13.8">
      <c r="A280" s="8" t="s">
        <v>324</v>
      </c>
      <c r="B280" s="8" t="s">
        <v>26</v>
      </c>
      <c r="C280" s="8" t="s">
        <v>17</v>
      </c>
      <c r="D280" s="7">
        <v>45708</v>
      </c>
      <c r="E280" s="7">
        <v>45701</v>
      </c>
      <c r="F280" s="8">
        <v>3429</v>
      </c>
      <c r="G280" s="8" t="s">
        <v>34</v>
      </c>
      <c r="H280" s="8" t="s">
        <v>35</v>
      </c>
      <c r="I280" s="7">
        <v>45823</v>
      </c>
      <c r="J280" s="8" t="s">
        <v>20</v>
      </c>
      <c r="K280" s="8" t="s">
        <v>21</v>
      </c>
      <c r="L280" s="8" t="s">
        <v>547</v>
      </c>
      <c r="M280" s="8" t="s">
        <v>32</v>
      </c>
      <c r="N280" s="8">
        <v>50</v>
      </c>
      <c r="O280" s="8" t="s">
        <v>24</v>
      </c>
      <c r="P280" s="8" t="str">
        <f t="shared" si="8"/>
        <v>not valid</v>
      </c>
      <c r="Q280" s="8" t="str">
        <f t="shared" si="9"/>
        <v>Valid</v>
      </c>
    </row>
    <row r="281" spans="1:17" ht="13.8">
      <c r="A281" s="8" t="s">
        <v>325</v>
      </c>
      <c r="B281" s="8" t="s">
        <v>38</v>
      </c>
      <c r="C281" s="8" t="s">
        <v>39</v>
      </c>
      <c r="D281" s="7">
        <v>45784</v>
      </c>
      <c r="E281" s="7">
        <v>45784</v>
      </c>
      <c r="F281" s="8">
        <v>0</v>
      </c>
      <c r="G281" s="8" t="s">
        <v>28</v>
      </c>
      <c r="H281" s="8" t="s">
        <v>49</v>
      </c>
      <c r="I281" s="8" t="s">
        <v>546</v>
      </c>
      <c r="J281" s="8" t="s">
        <v>30</v>
      </c>
      <c r="K281" s="8" t="s">
        <v>43</v>
      </c>
      <c r="L281" s="8" t="s">
        <v>44</v>
      </c>
      <c r="M281" s="8" t="s">
        <v>45</v>
      </c>
      <c r="N281" s="8">
        <v>91</v>
      </c>
      <c r="O281" s="8" t="s">
        <v>46</v>
      </c>
      <c r="P281" s="8" t="str">
        <f t="shared" si="8"/>
        <v>Valid</v>
      </c>
      <c r="Q281" s="8" t="str">
        <f t="shared" si="9"/>
        <v>Valid</v>
      </c>
    </row>
    <row r="282" spans="1:17" ht="13.8">
      <c r="A282" s="8" t="s">
        <v>326</v>
      </c>
      <c r="B282" s="8" t="s">
        <v>26</v>
      </c>
      <c r="C282" s="8" t="s">
        <v>27</v>
      </c>
      <c r="D282" s="7">
        <v>45714</v>
      </c>
      <c r="E282" s="7">
        <v>45930</v>
      </c>
      <c r="F282" s="8">
        <v>0</v>
      </c>
      <c r="G282" s="8" t="s">
        <v>48</v>
      </c>
      <c r="H282" s="8" t="s">
        <v>19</v>
      </c>
      <c r="I282" s="8" t="s">
        <v>546</v>
      </c>
      <c r="J282" s="8" t="s">
        <v>20</v>
      </c>
      <c r="K282" s="8" t="s">
        <v>21</v>
      </c>
      <c r="L282" s="8" t="s">
        <v>44</v>
      </c>
      <c r="M282" s="8" t="s">
        <v>23</v>
      </c>
      <c r="N282" s="8">
        <v>37</v>
      </c>
      <c r="O282" s="8" t="s">
        <v>52</v>
      </c>
      <c r="P282" s="8" t="str">
        <f t="shared" si="8"/>
        <v>Valid</v>
      </c>
      <c r="Q282" s="8" t="str">
        <f t="shared" si="9"/>
        <v>Valid</v>
      </c>
    </row>
    <row r="283" spans="1:17" ht="13.8">
      <c r="A283" s="8" t="s">
        <v>327</v>
      </c>
      <c r="B283" s="8" t="s">
        <v>38</v>
      </c>
      <c r="C283" s="8" t="s">
        <v>17</v>
      </c>
      <c r="D283" s="7">
        <v>45828</v>
      </c>
      <c r="E283" s="9">
        <v>45945</v>
      </c>
      <c r="F283" s="8">
        <v>3022</v>
      </c>
      <c r="G283" s="8" t="s">
        <v>18</v>
      </c>
      <c r="H283" s="8" t="s">
        <v>49</v>
      </c>
      <c r="I283" s="7">
        <v>45688</v>
      </c>
      <c r="J283" s="8" t="s">
        <v>20</v>
      </c>
      <c r="K283" s="8" t="s">
        <v>21</v>
      </c>
      <c r="L283" s="8" t="s">
        <v>22</v>
      </c>
      <c r="M283" s="8" t="s">
        <v>32</v>
      </c>
      <c r="N283" s="8">
        <v>70</v>
      </c>
      <c r="O283" s="8" t="s">
        <v>24</v>
      </c>
      <c r="P283" s="8" t="str">
        <f t="shared" si="8"/>
        <v>Valid</v>
      </c>
      <c r="Q283" s="8" t="str">
        <f t="shared" si="9"/>
        <v>Not valid</v>
      </c>
    </row>
    <row r="284" spans="1:17" ht="13.8">
      <c r="A284" s="8" t="s">
        <v>328</v>
      </c>
      <c r="B284" s="8" t="s">
        <v>38</v>
      </c>
      <c r="C284" s="8" t="s">
        <v>27</v>
      </c>
      <c r="D284" s="7">
        <v>45845</v>
      </c>
      <c r="E284" s="7">
        <v>45768</v>
      </c>
      <c r="F284" s="8">
        <v>0</v>
      </c>
      <c r="G284" s="8" t="s">
        <v>48</v>
      </c>
      <c r="H284" s="8" t="s">
        <v>49</v>
      </c>
      <c r="I284" s="8" t="s">
        <v>546</v>
      </c>
      <c r="J284" s="8" t="s">
        <v>30</v>
      </c>
      <c r="K284" s="8" t="s">
        <v>40</v>
      </c>
      <c r="L284" s="8" t="s">
        <v>44</v>
      </c>
      <c r="M284" s="8" t="s">
        <v>36</v>
      </c>
      <c r="N284" s="8">
        <v>94</v>
      </c>
      <c r="O284" s="8" t="s">
        <v>46</v>
      </c>
      <c r="P284" s="8" t="str">
        <f t="shared" si="8"/>
        <v>not valid</v>
      </c>
      <c r="Q284" s="8" t="str">
        <f t="shared" si="9"/>
        <v>Valid</v>
      </c>
    </row>
    <row r="285" spans="1:17" ht="13.8">
      <c r="A285" s="8" t="s">
        <v>329</v>
      </c>
      <c r="B285" s="8" t="s">
        <v>26</v>
      </c>
      <c r="C285" s="8" t="s">
        <v>17</v>
      </c>
      <c r="D285" s="7">
        <v>45884</v>
      </c>
      <c r="E285" s="7">
        <v>45820</v>
      </c>
      <c r="F285" s="8">
        <v>2603</v>
      </c>
      <c r="G285" s="8" t="s">
        <v>48</v>
      </c>
      <c r="H285" s="8" t="s">
        <v>29</v>
      </c>
      <c r="I285" s="7">
        <v>45766</v>
      </c>
      <c r="J285" s="8" t="s">
        <v>30</v>
      </c>
      <c r="K285" s="8" t="s">
        <v>43</v>
      </c>
      <c r="L285" s="8" t="s">
        <v>22</v>
      </c>
      <c r="M285" s="8" t="s">
        <v>32</v>
      </c>
      <c r="N285" s="8">
        <v>86</v>
      </c>
      <c r="O285" s="8" t="s">
        <v>52</v>
      </c>
      <c r="P285" s="8" t="str">
        <f t="shared" si="8"/>
        <v>not valid</v>
      </c>
      <c r="Q285" s="8" t="str">
        <f t="shared" si="9"/>
        <v>Not valid</v>
      </c>
    </row>
    <row r="286" spans="1:17" ht="13.8">
      <c r="A286" s="8" t="s">
        <v>330</v>
      </c>
      <c r="B286" s="8" t="s">
        <v>51</v>
      </c>
      <c r="C286" s="8" t="s">
        <v>27</v>
      </c>
      <c r="D286" s="7">
        <v>45677</v>
      </c>
      <c r="E286" s="7">
        <v>45774</v>
      </c>
      <c r="F286" s="8">
        <v>0</v>
      </c>
      <c r="G286" s="8" t="s">
        <v>18</v>
      </c>
      <c r="H286" s="8" t="s">
        <v>29</v>
      </c>
      <c r="I286" s="8" t="s">
        <v>546</v>
      </c>
      <c r="J286" s="8" t="s">
        <v>20</v>
      </c>
      <c r="K286" s="8" t="s">
        <v>40</v>
      </c>
      <c r="L286" s="8" t="s">
        <v>22</v>
      </c>
      <c r="M286" s="8" t="s">
        <v>23</v>
      </c>
      <c r="N286" s="8">
        <v>89</v>
      </c>
      <c r="O286" s="8" t="s">
        <v>24</v>
      </c>
      <c r="P286" s="8" t="str">
        <f t="shared" si="8"/>
        <v>Valid</v>
      </c>
      <c r="Q286" s="8" t="str">
        <f t="shared" si="9"/>
        <v>Valid</v>
      </c>
    </row>
    <row r="287" spans="1:17" ht="13.8">
      <c r="A287" s="8" t="s">
        <v>331</v>
      </c>
      <c r="B287" s="8" t="s">
        <v>38</v>
      </c>
      <c r="C287" s="8" t="s">
        <v>39</v>
      </c>
      <c r="D287" s="7">
        <v>45770</v>
      </c>
      <c r="E287" s="7">
        <v>45770</v>
      </c>
      <c r="F287" s="8">
        <v>0</v>
      </c>
      <c r="G287" s="8" t="s">
        <v>18</v>
      </c>
      <c r="H287" s="8" t="s">
        <v>35</v>
      </c>
      <c r="I287" s="8" t="s">
        <v>546</v>
      </c>
      <c r="J287" s="8" t="s">
        <v>30</v>
      </c>
      <c r="K287" s="8" t="s">
        <v>43</v>
      </c>
      <c r="L287" s="8" t="s">
        <v>27</v>
      </c>
      <c r="M287" s="8" t="s">
        <v>45</v>
      </c>
      <c r="N287" s="8">
        <v>88</v>
      </c>
      <c r="O287" s="8" t="s">
        <v>46</v>
      </c>
      <c r="P287" s="8" t="str">
        <f t="shared" si="8"/>
        <v>Valid</v>
      </c>
      <c r="Q287" s="8" t="str">
        <f t="shared" si="9"/>
        <v>Valid</v>
      </c>
    </row>
    <row r="288" spans="1:17" ht="13.8">
      <c r="A288" s="8" t="s">
        <v>332</v>
      </c>
      <c r="B288" s="8" t="s">
        <v>26</v>
      </c>
      <c r="C288" s="8" t="s">
        <v>27</v>
      </c>
      <c r="D288" s="7">
        <v>45796</v>
      </c>
      <c r="E288" s="7">
        <v>45724</v>
      </c>
      <c r="F288" s="8">
        <v>0</v>
      </c>
      <c r="G288" s="8" t="s">
        <v>34</v>
      </c>
      <c r="H288" s="8" t="s">
        <v>35</v>
      </c>
      <c r="I288" s="8" t="s">
        <v>546</v>
      </c>
      <c r="J288" s="8" t="s">
        <v>30</v>
      </c>
      <c r="K288" s="8" t="s">
        <v>21</v>
      </c>
      <c r="L288" s="8" t="s">
        <v>22</v>
      </c>
      <c r="M288" s="8" t="s">
        <v>23</v>
      </c>
      <c r="N288" s="8">
        <v>74</v>
      </c>
      <c r="O288" s="8" t="s">
        <v>46</v>
      </c>
      <c r="P288" s="8" t="str">
        <f t="shared" si="8"/>
        <v>not valid</v>
      </c>
      <c r="Q288" s="8" t="str">
        <f t="shared" si="9"/>
        <v>Valid</v>
      </c>
    </row>
    <row r="289" spans="1:17" ht="13.8">
      <c r="A289" s="8" t="s">
        <v>333</v>
      </c>
      <c r="B289" s="8" t="s">
        <v>38</v>
      </c>
      <c r="C289" s="8" t="s">
        <v>17</v>
      </c>
      <c r="D289" s="7">
        <v>45731</v>
      </c>
      <c r="E289" s="7">
        <v>45802</v>
      </c>
      <c r="F289" s="8">
        <v>4712</v>
      </c>
      <c r="G289" s="8" t="s">
        <v>48</v>
      </c>
      <c r="H289" s="8" t="s">
        <v>19</v>
      </c>
      <c r="I289" s="7">
        <v>45702</v>
      </c>
      <c r="J289" s="8" t="s">
        <v>20</v>
      </c>
      <c r="K289" s="8" t="s">
        <v>31</v>
      </c>
      <c r="L289" s="8" t="s">
        <v>22</v>
      </c>
      <c r="M289" s="8" t="s">
        <v>32</v>
      </c>
      <c r="N289" s="8">
        <v>85</v>
      </c>
      <c r="O289" s="8" t="s">
        <v>24</v>
      </c>
      <c r="P289" s="8" t="str">
        <f t="shared" si="8"/>
        <v>Valid</v>
      </c>
      <c r="Q289" s="8" t="str">
        <f t="shared" si="9"/>
        <v>Not valid</v>
      </c>
    </row>
    <row r="290" spans="1:17" ht="13.8">
      <c r="A290" s="8" t="s">
        <v>334</v>
      </c>
      <c r="B290" s="8" t="s">
        <v>51</v>
      </c>
      <c r="C290" s="8" t="s">
        <v>27</v>
      </c>
      <c r="D290" s="7">
        <v>45698</v>
      </c>
      <c r="E290" s="7">
        <v>45722</v>
      </c>
      <c r="F290" s="8">
        <v>0</v>
      </c>
      <c r="G290" s="8" t="s">
        <v>28</v>
      </c>
      <c r="H290" s="8" t="s">
        <v>35</v>
      </c>
      <c r="I290" s="8" t="s">
        <v>546</v>
      </c>
      <c r="J290" s="8" t="s">
        <v>30</v>
      </c>
      <c r="K290" s="8" t="s">
        <v>21</v>
      </c>
      <c r="L290" s="8" t="s">
        <v>44</v>
      </c>
      <c r="M290" s="8" t="s">
        <v>32</v>
      </c>
      <c r="N290" s="8">
        <v>84</v>
      </c>
      <c r="O290" s="8" t="s">
        <v>52</v>
      </c>
      <c r="P290" s="8" t="str">
        <f t="shared" si="8"/>
        <v>Valid</v>
      </c>
      <c r="Q290" s="8" t="str">
        <f t="shared" si="9"/>
        <v>Valid</v>
      </c>
    </row>
    <row r="291" spans="1:17" ht="13.8">
      <c r="A291" s="8" t="s">
        <v>335</v>
      </c>
      <c r="B291" s="8" t="s">
        <v>16</v>
      </c>
      <c r="C291" s="8" t="s">
        <v>17</v>
      </c>
      <c r="D291" s="7">
        <v>45714</v>
      </c>
      <c r="E291" s="7">
        <v>45689</v>
      </c>
      <c r="F291" s="8">
        <v>2407</v>
      </c>
      <c r="G291" s="8" t="s">
        <v>18</v>
      </c>
      <c r="H291" s="8" t="s">
        <v>49</v>
      </c>
      <c r="I291" s="7">
        <v>45811</v>
      </c>
      <c r="J291" s="8" t="s">
        <v>20</v>
      </c>
      <c r="K291" s="8" t="s">
        <v>31</v>
      </c>
      <c r="L291" s="8" t="s">
        <v>548</v>
      </c>
      <c r="M291" s="8" t="s">
        <v>23</v>
      </c>
      <c r="N291" s="8">
        <v>93</v>
      </c>
      <c r="O291" s="8" t="s">
        <v>52</v>
      </c>
      <c r="P291" s="8" t="str">
        <f t="shared" si="8"/>
        <v>not valid</v>
      </c>
      <c r="Q291" s="8" t="str">
        <f t="shared" si="9"/>
        <v>Valid</v>
      </c>
    </row>
    <row r="292" spans="1:17" ht="13.8">
      <c r="A292" s="8" t="s">
        <v>336</v>
      </c>
      <c r="B292" s="8" t="s">
        <v>51</v>
      </c>
      <c r="C292" s="8" t="s">
        <v>39</v>
      </c>
      <c r="D292" s="7">
        <v>45859</v>
      </c>
      <c r="E292" s="7">
        <v>45859</v>
      </c>
      <c r="F292" s="8">
        <v>0</v>
      </c>
      <c r="G292" s="8" t="s">
        <v>18</v>
      </c>
      <c r="H292" s="8" t="s">
        <v>49</v>
      </c>
      <c r="I292" s="8" t="s">
        <v>546</v>
      </c>
      <c r="J292" s="8" t="s">
        <v>20</v>
      </c>
      <c r="K292" s="8" t="s">
        <v>40</v>
      </c>
      <c r="L292" s="8" t="s">
        <v>41</v>
      </c>
      <c r="M292" s="8" t="s">
        <v>32</v>
      </c>
      <c r="N292" s="8">
        <v>30</v>
      </c>
      <c r="O292" s="8" t="s">
        <v>46</v>
      </c>
      <c r="P292" s="8" t="str">
        <f t="shared" si="8"/>
        <v>Valid</v>
      </c>
      <c r="Q292" s="8" t="str">
        <f t="shared" si="9"/>
        <v>Valid</v>
      </c>
    </row>
    <row r="293" spans="1:17" ht="13.8">
      <c r="A293" s="8" t="s">
        <v>337</v>
      </c>
      <c r="B293" s="8" t="s">
        <v>26</v>
      </c>
      <c r="C293" s="8" t="s">
        <v>39</v>
      </c>
      <c r="D293" s="7">
        <v>45823</v>
      </c>
      <c r="E293" s="7">
        <v>45823</v>
      </c>
      <c r="F293" s="8">
        <v>0</v>
      </c>
      <c r="G293" s="8" t="s">
        <v>28</v>
      </c>
      <c r="H293" s="8" t="s">
        <v>49</v>
      </c>
      <c r="I293" s="8" t="s">
        <v>546</v>
      </c>
      <c r="J293" s="8" t="s">
        <v>30</v>
      </c>
      <c r="K293" s="8" t="s">
        <v>31</v>
      </c>
      <c r="L293" s="8" t="s">
        <v>44</v>
      </c>
      <c r="M293" s="8" t="s">
        <v>23</v>
      </c>
      <c r="N293" s="8">
        <v>70</v>
      </c>
      <c r="O293" s="8" t="s">
        <v>24</v>
      </c>
      <c r="P293" s="8" t="str">
        <f t="shared" si="8"/>
        <v>Valid</v>
      </c>
      <c r="Q293" s="8" t="str">
        <f t="shared" si="9"/>
        <v>Valid</v>
      </c>
    </row>
    <row r="294" spans="1:17" ht="13.8">
      <c r="A294" s="8" t="s">
        <v>338</v>
      </c>
      <c r="B294" s="8" t="s">
        <v>51</v>
      </c>
      <c r="C294" s="8" t="s">
        <v>27</v>
      </c>
      <c r="D294" s="7">
        <v>45720</v>
      </c>
      <c r="E294" s="7">
        <v>45700</v>
      </c>
      <c r="F294" s="8">
        <v>0</v>
      </c>
      <c r="G294" s="8" t="s">
        <v>48</v>
      </c>
      <c r="H294" s="8" t="s">
        <v>29</v>
      </c>
      <c r="I294" s="8" t="s">
        <v>546</v>
      </c>
      <c r="J294" s="8" t="s">
        <v>30</v>
      </c>
      <c r="K294" s="8" t="s">
        <v>43</v>
      </c>
      <c r="L294" s="8" t="s">
        <v>27</v>
      </c>
      <c r="M294" s="8" t="s">
        <v>32</v>
      </c>
      <c r="N294" s="8">
        <v>57</v>
      </c>
      <c r="O294" s="8" t="s">
        <v>52</v>
      </c>
      <c r="P294" s="8" t="str">
        <f t="shared" si="8"/>
        <v>not valid</v>
      </c>
      <c r="Q294" s="8" t="str">
        <f t="shared" si="9"/>
        <v>Valid</v>
      </c>
    </row>
    <row r="295" spans="1:17" ht="13.8">
      <c r="A295" s="8" t="s">
        <v>339</v>
      </c>
      <c r="B295" s="8" t="s">
        <v>38</v>
      </c>
      <c r="C295" s="8" t="s">
        <v>17</v>
      </c>
      <c r="D295" s="7">
        <v>45684</v>
      </c>
      <c r="E295" s="7">
        <v>45924</v>
      </c>
      <c r="F295" s="8">
        <v>2349</v>
      </c>
      <c r="G295" s="8" t="s">
        <v>18</v>
      </c>
      <c r="H295" s="8" t="s">
        <v>19</v>
      </c>
      <c r="I295" s="7">
        <v>45779</v>
      </c>
      <c r="J295" s="8" t="s">
        <v>20</v>
      </c>
      <c r="K295" s="8" t="s">
        <v>31</v>
      </c>
      <c r="L295" s="8" t="s">
        <v>547</v>
      </c>
      <c r="M295" s="8" t="s">
        <v>32</v>
      </c>
      <c r="N295" s="8">
        <v>64</v>
      </c>
      <c r="O295" s="8" t="s">
        <v>46</v>
      </c>
      <c r="P295" s="8" t="str">
        <f t="shared" si="8"/>
        <v>Valid</v>
      </c>
      <c r="Q295" s="8" t="str">
        <f t="shared" si="9"/>
        <v>Valid</v>
      </c>
    </row>
    <row r="296" spans="1:17" ht="13.8">
      <c r="A296" s="8" t="s">
        <v>340</v>
      </c>
      <c r="B296" s="8" t="s">
        <v>38</v>
      </c>
      <c r="C296" s="8" t="s">
        <v>17</v>
      </c>
      <c r="D296" s="7">
        <v>45701</v>
      </c>
      <c r="E296" s="7">
        <v>45899</v>
      </c>
      <c r="F296" s="8">
        <v>3432</v>
      </c>
      <c r="G296" s="8" t="s">
        <v>34</v>
      </c>
      <c r="H296" s="8" t="s">
        <v>35</v>
      </c>
      <c r="I296" s="7">
        <v>45814</v>
      </c>
      <c r="J296" s="8" t="s">
        <v>20</v>
      </c>
      <c r="K296" s="8" t="s">
        <v>21</v>
      </c>
      <c r="L296" s="8" t="s">
        <v>22</v>
      </c>
      <c r="M296" s="8" t="s">
        <v>36</v>
      </c>
      <c r="N296" s="8">
        <v>67</v>
      </c>
      <c r="O296" s="8" t="s">
        <v>24</v>
      </c>
      <c r="P296" s="8" t="str">
        <f t="shared" si="8"/>
        <v>Valid</v>
      </c>
      <c r="Q296" s="8" t="str">
        <f t="shared" si="9"/>
        <v>Valid</v>
      </c>
    </row>
    <row r="297" spans="1:17" ht="13.8">
      <c r="A297" s="8" t="s">
        <v>341</v>
      </c>
      <c r="B297" s="8" t="s">
        <v>26</v>
      </c>
      <c r="C297" s="8" t="s">
        <v>39</v>
      </c>
      <c r="D297" s="7">
        <v>45792</v>
      </c>
      <c r="E297" s="7">
        <v>45792</v>
      </c>
      <c r="F297" s="8">
        <v>0</v>
      </c>
      <c r="G297" s="8" t="s">
        <v>34</v>
      </c>
      <c r="H297" s="8" t="s">
        <v>35</v>
      </c>
      <c r="I297" s="8" t="s">
        <v>546</v>
      </c>
      <c r="J297" s="8" t="s">
        <v>30</v>
      </c>
      <c r="K297" s="8" t="s">
        <v>43</v>
      </c>
      <c r="L297" s="8" t="s">
        <v>44</v>
      </c>
      <c r="M297" s="8" t="s">
        <v>32</v>
      </c>
      <c r="N297" s="8">
        <v>31</v>
      </c>
      <c r="O297" s="8" t="s">
        <v>46</v>
      </c>
      <c r="P297" s="8" t="str">
        <f t="shared" si="8"/>
        <v>Valid</v>
      </c>
      <c r="Q297" s="8" t="str">
        <f t="shared" si="9"/>
        <v>Valid</v>
      </c>
    </row>
    <row r="298" spans="1:17" ht="13.8">
      <c r="A298" s="8" t="s">
        <v>342</v>
      </c>
      <c r="B298" s="8" t="s">
        <v>16</v>
      </c>
      <c r="C298" s="8" t="s">
        <v>17</v>
      </c>
      <c r="D298" s="7">
        <v>45658</v>
      </c>
      <c r="E298" s="7">
        <v>45728</v>
      </c>
      <c r="F298" s="8">
        <v>2162</v>
      </c>
      <c r="G298" s="8" t="s">
        <v>48</v>
      </c>
      <c r="H298" s="8" t="s">
        <v>49</v>
      </c>
      <c r="I298" s="7">
        <v>45779</v>
      </c>
      <c r="J298" s="8" t="s">
        <v>30</v>
      </c>
      <c r="K298" s="8" t="s">
        <v>31</v>
      </c>
      <c r="L298" s="8" t="s">
        <v>22</v>
      </c>
      <c r="M298" s="8" t="s">
        <v>45</v>
      </c>
      <c r="N298" s="8">
        <v>36</v>
      </c>
      <c r="O298" s="8" t="s">
        <v>24</v>
      </c>
      <c r="P298" s="8" t="str">
        <f t="shared" si="8"/>
        <v>Valid</v>
      </c>
      <c r="Q298" s="8" t="str">
        <f t="shared" si="9"/>
        <v>Valid</v>
      </c>
    </row>
    <row r="299" spans="1:17" ht="13.8">
      <c r="A299" s="8" t="s">
        <v>343</v>
      </c>
      <c r="B299" s="8" t="s">
        <v>16</v>
      </c>
      <c r="C299" s="8" t="s">
        <v>17</v>
      </c>
      <c r="D299" s="7">
        <v>45815</v>
      </c>
      <c r="E299" s="7">
        <v>45730</v>
      </c>
      <c r="F299" s="8">
        <v>4736</v>
      </c>
      <c r="G299" s="8" t="s">
        <v>48</v>
      </c>
      <c r="H299" s="8" t="s">
        <v>49</v>
      </c>
      <c r="I299" s="7">
        <v>45838</v>
      </c>
      <c r="J299" s="8" t="s">
        <v>20</v>
      </c>
      <c r="K299" s="8" t="s">
        <v>31</v>
      </c>
      <c r="L299" s="8" t="s">
        <v>22</v>
      </c>
      <c r="M299" s="8" t="s">
        <v>45</v>
      </c>
      <c r="N299" s="8">
        <v>38</v>
      </c>
      <c r="O299" s="8" t="s">
        <v>46</v>
      </c>
      <c r="P299" s="8" t="str">
        <f t="shared" si="8"/>
        <v>not valid</v>
      </c>
      <c r="Q299" s="8" t="str">
        <f t="shared" si="9"/>
        <v>Valid</v>
      </c>
    </row>
    <row r="300" spans="1:17" ht="13.8">
      <c r="A300" s="8" t="s">
        <v>344</v>
      </c>
      <c r="B300" s="8" t="s">
        <v>51</v>
      </c>
      <c r="C300" s="8" t="s">
        <v>39</v>
      </c>
      <c r="D300" s="7">
        <v>45749</v>
      </c>
      <c r="E300" s="7">
        <v>45749</v>
      </c>
      <c r="F300" s="8">
        <v>0</v>
      </c>
      <c r="G300" s="8" t="s">
        <v>48</v>
      </c>
      <c r="H300" s="8" t="s">
        <v>19</v>
      </c>
      <c r="I300" s="8" t="s">
        <v>546</v>
      </c>
      <c r="J300" s="8" t="s">
        <v>30</v>
      </c>
      <c r="K300" s="8" t="s">
        <v>21</v>
      </c>
      <c r="L300" s="8" t="s">
        <v>44</v>
      </c>
      <c r="M300" s="8" t="s">
        <v>23</v>
      </c>
      <c r="N300" s="8">
        <v>51</v>
      </c>
      <c r="O300" s="8" t="s">
        <v>46</v>
      </c>
      <c r="P300" s="8" t="str">
        <f t="shared" si="8"/>
        <v>Valid</v>
      </c>
      <c r="Q300" s="8" t="str">
        <f t="shared" si="9"/>
        <v>Valid</v>
      </c>
    </row>
    <row r="301" spans="1:17" ht="13.8">
      <c r="A301" s="8" t="s">
        <v>345</v>
      </c>
      <c r="B301" s="8" t="s">
        <v>26</v>
      </c>
      <c r="C301" s="8" t="s">
        <v>17</v>
      </c>
      <c r="D301" s="7">
        <v>45818</v>
      </c>
      <c r="E301" s="7">
        <v>45688</v>
      </c>
      <c r="F301" s="8">
        <v>4068</v>
      </c>
      <c r="G301" s="8" t="s">
        <v>34</v>
      </c>
      <c r="H301" s="8" t="s">
        <v>29</v>
      </c>
      <c r="I301" s="7">
        <v>45683</v>
      </c>
      <c r="J301" s="8" t="s">
        <v>30</v>
      </c>
      <c r="K301" s="8" t="s">
        <v>40</v>
      </c>
      <c r="L301" s="8" t="s">
        <v>27</v>
      </c>
      <c r="M301" s="8" t="s">
        <v>23</v>
      </c>
      <c r="N301" s="8">
        <v>58</v>
      </c>
      <c r="O301" s="8" t="s">
        <v>24</v>
      </c>
      <c r="P301" s="8" t="str">
        <f t="shared" si="8"/>
        <v>not valid</v>
      </c>
      <c r="Q301" s="8" t="str">
        <f t="shared" si="9"/>
        <v>Not valid</v>
      </c>
    </row>
    <row r="302" spans="1:17" ht="13.8">
      <c r="A302" s="8" t="s">
        <v>346</v>
      </c>
      <c r="B302" s="8" t="s">
        <v>16</v>
      </c>
      <c r="C302" s="8" t="s">
        <v>17</v>
      </c>
      <c r="D302" s="7">
        <v>45661</v>
      </c>
      <c r="E302" s="7">
        <v>45781</v>
      </c>
      <c r="F302" s="8">
        <v>4504</v>
      </c>
      <c r="G302" s="8" t="s">
        <v>28</v>
      </c>
      <c r="H302" s="8" t="s">
        <v>49</v>
      </c>
      <c r="I302" s="7">
        <v>45851</v>
      </c>
      <c r="J302" s="8" t="s">
        <v>20</v>
      </c>
      <c r="K302" s="8" t="s">
        <v>31</v>
      </c>
      <c r="L302" s="8" t="s">
        <v>27</v>
      </c>
      <c r="M302" s="8" t="s">
        <v>36</v>
      </c>
      <c r="N302" s="8">
        <v>42</v>
      </c>
      <c r="O302" s="8" t="s">
        <v>24</v>
      </c>
      <c r="P302" s="8" t="str">
        <f t="shared" si="8"/>
        <v>Valid</v>
      </c>
      <c r="Q302" s="8" t="str">
        <f t="shared" si="9"/>
        <v>Valid</v>
      </c>
    </row>
    <row r="303" spans="1:17" ht="13.8">
      <c r="A303" s="8" t="s">
        <v>347</v>
      </c>
      <c r="B303" s="8" t="s">
        <v>51</v>
      </c>
      <c r="C303" s="8" t="s">
        <v>27</v>
      </c>
      <c r="D303" s="7">
        <v>45803</v>
      </c>
      <c r="E303" s="7">
        <v>45804</v>
      </c>
      <c r="F303" s="8">
        <v>0</v>
      </c>
      <c r="G303" s="8" t="s">
        <v>28</v>
      </c>
      <c r="H303" s="8" t="s">
        <v>35</v>
      </c>
      <c r="I303" s="8" t="s">
        <v>546</v>
      </c>
      <c r="J303" s="8" t="s">
        <v>30</v>
      </c>
      <c r="K303" s="8" t="s">
        <v>43</v>
      </c>
      <c r="L303" s="8" t="s">
        <v>44</v>
      </c>
      <c r="M303" s="8" t="s">
        <v>32</v>
      </c>
      <c r="N303" s="8">
        <v>67</v>
      </c>
      <c r="O303" s="8" t="s">
        <v>24</v>
      </c>
      <c r="P303" s="8" t="str">
        <f t="shared" si="8"/>
        <v>Valid</v>
      </c>
      <c r="Q303" s="8" t="str">
        <f t="shared" si="9"/>
        <v>Valid</v>
      </c>
    </row>
    <row r="304" spans="1:17" ht="13.8">
      <c r="A304" s="8" t="s">
        <v>348</v>
      </c>
      <c r="B304" s="8" t="s">
        <v>51</v>
      </c>
      <c r="C304" s="8" t="s">
        <v>27</v>
      </c>
      <c r="D304" s="7">
        <v>45832</v>
      </c>
      <c r="E304" s="7">
        <v>45687</v>
      </c>
      <c r="F304" s="8">
        <v>0</v>
      </c>
      <c r="G304" s="8" t="s">
        <v>28</v>
      </c>
      <c r="H304" s="8" t="s">
        <v>49</v>
      </c>
      <c r="I304" s="8" t="s">
        <v>546</v>
      </c>
      <c r="J304" s="8" t="s">
        <v>30</v>
      </c>
      <c r="K304" s="8" t="s">
        <v>31</v>
      </c>
      <c r="L304" s="8" t="s">
        <v>27</v>
      </c>
      <c r="M304" s="8" t="s">
        <v>23</v>
      </c>
      <c r="N304" s="8">
        <v>66</v>
      </c>
      <c r="O304" s="8" t="s">
        <v>52</v>
      </c>
      <c r="P304" s="8" t="str">
        <f t="shared" si="8"/>
        <v>not valid</v>
      </c>
      <c r="Q304" s="8" t="str">
        <f t="shared" si="9"/>
        <v>Valid</v>
      </c>
    </row>
    <row r="305" spans="1:17" ht="13.8">
      <c r="A305" s="8" t="s">
        <v>349</v>
      </c>
      <c r="B305" s="8" t="s">
        <v>16</v>
      </c>
      <c r="C305" s="8" t="s">
        <v>17</v>
      </c>
      <c r="D305" s="7">
        <v>45905</v>
      </c>
      <c r="E305" s="7">
        <v>45875</v>
      </c>
      <c r="F305" s="8">
        <v>3832</v>
      </c>
      <c r="G305" s="8" t="s">
        <v>28</v>
      </c>
      <c r="H305" s="8" t="s">
        <v>35</v>
      </c>
      <c r="I305" s="7">
        <v>45690</v>
      </c>
      <c r="J305" s="8" t="s">
        <v>30</v>
      </c>
      <c r="K305" s="8" t="s">
        <v>31</v>
      </c>
      <c r="L305" s="8" t="s">
        <v>548</v>
      </c>
      <c r="M305" s="8" t="s">
        <v>36</v>
      </c>
      <c r="N305" s="8">
        <v>45</v>
      </c>
      <c r="O305" s="8" t="s">
        <v>24</v>
      </c>
      <c r="P305" s="8" t="str">
        <f t="shared" si="8"/>
        <v>not valid</v>
      </c>
      <c r="Q305" s="8" t="str">
        <f t="shared" si="9"/>
        <v>Not valid</v>
      </c>
    </row>
    <row r="306" spans="1:17" ht="13.8">
      <c r="A306" s="8" t="s">
        <v>350</v>
      </c>
      <c r="B306" s="8" t="s">
        <v>38</v>
      </c>
      <c r="C306" s="8" t="s">
        <v>39</v>
      </c>
      <c r="D306" s="7">
        <v>45742</v>
      </c>
      <c r="E306" s="7">
        <v>45742</v>
      </c>
      <c r="F306" s="8">
        <v>0</v>
      </c>
      <c r="G306" s="8" t="s">
        <v>28</v>
      </c>
      <c r="H306" s="8" t="s">
        <v>29</v>
      </c>
      <c r="I306" s="8" t="s">
        <v>546</v>
      </c>
      <c r="J306" s="8" t="s">
        <v>20</v>
      </c>
      <c r="K306" s="8" t="s">
        <v>43</v>
      </c>
      <c r="L306" s="8" t="s">
        <v>44</v>
      </c>
      <c r="M306" s="8" t="s">
        <v>23</v>
      </c>
      <c r="N306" s="8">
        <v>73</v>
      </c>
      <c r="O306" s="8" t="s">
        <v>24</v>
      </c>
      <c r="P306" s="8" t="str">
        <f t="shared" si="8"/>
        <v>Valid</v>
      </c>
      <c r="Q306" s="8" t="str">
        <f t="shared" si="9"/>
        <v>Valid</v>
      </c>
    </row>
    <row r="307" spans="1:17" ht="13.8">
      <c r="A307" s="8" t="s">
        <v>351</v>
      </c>
      <c r="B307" s="8" t="s">
        <v>51</v>
      </c>
      <c r="C307" s="8" t="s">
        <v>17</v>
      </c>
      <c r="D307" s="7">
        <v>45794</v>
      </c>
      <c r="E307" s="7">
        <v>45812</v>
      </c>
      <c r="F307" s="8">
        <v>2236</v>
      </c>
      <c r="G307" s="8" t="s">
        <v>34</v>
      </c>
      <c r="H307" s="8" t="s">
        <v>35</v>
      </c>
      <c r="I307" s="7">
        <v>45746</v>
      </c>
      <c r="J307" s="8" t="s">
        <v>20</v>
      </c>
      <c r="K307" s="8" t="s">
        <v>31</v>
      </c>
      <c r="L307" s="8" t="s">
        <v>548</v>
      </c>
      <c r="M307" s="8" t="s">
        <v>32</v>
      </c>
      <c r="N307" s="8">
        <v>49</v>
      </c>
      <c r="O307" s="8" t="s">
        <v>46</v>
      </c>
      <c r="P307" s="8" t="str">
        <f t="shared" si="8"/>
        <v>Valid</v>
      </c>
      <c r="Q307" s="8" t="str">
        <f t="shared" si="9"/>
        <v>Not valid</v>
      </c>
    </row>
    <row r="308" spans="1:17" ht="13.8">
      <c r="A308" s="8" t="s">
        <v>352</v>
      </c>
      <c r="B308" s="8" t="s">
        <v>16</v>
      </c>
      <c r="C308" s="8" t="s">
        <v>17</v>
      </c>
      <c r="D308" s="7">
        <v>45927</v>
      </c>
      <c r="E308" s="7">
        <v>45700</v>
      </c>
      <c r="F308" s="8">
        <v>2110</v>
      </c>
      <c r="G308" s="8" t="s">
        <v>28</v>
      </c>
      <c r="H308" s="8" t="s">
        <v>19</v>
      </c>
      <c r="I308" s="7">
        <v>45854</v>
      </c>
      <c r="J308" s="8" t="s">
        <v>20</v>
      </c>
      <c r="K308" s="8" t="s">
        <v>40</v>
      </c>
      <c r="L308" s="8" t="s">
        <v>22</v>
      </c>
      <c r="M308" s="8" t="s">
        <v>36</v>
      </c>
      <c r="N308" s="8">
        <v>56</v>
      </c>
      <c r="O308" s="8" t="s">
        <v>52</v>
      </c>
      <c r="P308" s="8" t="str">
        <f t="shared" si="8"/>
        <v>not valid</v>
      </c>
      <c r="Q308" s="8" t="str">
        <f t="shared" si="9"/>
        <v>Not valid</v>
      </c>
    </row>
    <row r="309" spans="1:17" ht="13.8">
      <c r="A309" s="8" t="s">
        <v>353</v>
      </c>
      <c r="B309" s="8" t="s">
        <v>16</v>
      </c>
      <c r="C309" s="8" t="s">
        <v>39</v>
      </c>
      <c r="D309" s="7">
        <v>45745</v>
      </c>
      <c r="E309" s="7">
        <v>45745</v>
      </c>
      <c r="F309" s="8">
        <v>0</v>
      </c>
      <c r="G309" s="8" t="s">
        <v>48</v>
      </c>
      <c r="H309" s="8" t="s">
        <v>29</v>
      </c>
      <c r="I309" s="8" t="s">
        <v>546</v>
      </c>
      <c r="J309" s="8" t="s">
        <v>30</v>
      </c>
      <c r="K309" s="8" t="s">
        <v>43</v>
      </c>
      <c r="L309" s="8" t="s">
        <v>27</v>
      </c>
      <c r="M309" s="8" t="s">
        <v>32</v>
      </c>
      <c r="N309" s="8">
        <v>49</v>
      </c>
      <c r="O309" s="8" t="s">
        <v>24</v>
      </c>
      <c r="P309" s="8" t="str">
        <f t="shared" si="8"/>
        <v>Valid</v>
      </c>
      <c r="Q309" s="8" t="str">
        <f t="shared" si="9"/>
        <v>Valid</v>
      </c>
    </row>
    <row r="310" spans="1:17" ht="13.8">
      <c r="A310" s="8" t="s">
        <v>354</v>
      </c>
      <c r="B310" s="8" t="s">
        <v>16</v>
      </c>
      <c r="C310" s="8" t="s">
        <v>39</v>
      </c>
      <c r="D310" s="7">
        <v>45662</v>
      </c>
      <c r="E310" s="7">
        <v>45662</v>
      </c>
      <c r="F310" s="8">
        <v>0</v>
      </c>
      <c r="G310" s="8" t="s">
        <v>28</v>
      </c>
      <c r="H310" s="8" t="s">
        <v>49</v>
      </c>
      <c r="I310" s="8" t="s">
        <v>546</v>
      </c>
      <c r="J310" s="8" t="s">
        <v>30</v>
      </c>
      <c r="K310" s="8" t="s">
        <v>31</v>
      </c>
      <c r="L310" s="8" t="s">
        <v>41</v>
      </c>
      <c r="M310" s="8" t="s">
        <v>23</v>
      </c>
      <c r="N310" s="8">
        <v>87</v>
      </c>
      <c r="O310" s="8" t="s">
        <v>46</v>
      </c>
      <c r="P310" s="8" t="str">
        <f t="shared" si="8"/>
        <v>Valid</v>
      </c>
      <c r="Q310" s="8" t="str">
        <f t="shared" si="9"/>
        <v>Valid</v>
      </c>
    </row>
    <row r="311" spans="1:17" ht="13.8">
      <c r="A311" s="8" t="s">
        <v>355</v>
      </c>
      <c r="B311" s="8" t="s">
        <v>51</v>
      </c>
      <c r="C311" s="8" t="s">
        <v>17</v>
      </c>
      <c r="D311" s="7">
        <v>45695</v>
      </c>
      <c r="E311" s="7">
        <v>45724</v>
      </c>
      <c r="F311" s="8">
        <v>4689</v>
      </c>
      <c r="G311" s="8" t="s">
        <v>28</v>
      </c>
      <c r="H311" s="8" t="s">
        <v>29</v>
      </c>
      <c r="I311" s="7">
        <v>45662</v>
      </c>
      <c r="J311" s="8" t="s">
        <v>30</v>
      </c>
      <c r="K311" s="8" t="s">
        <v>21</v>
      </c>
      <c r="L311" s="8" t="s">
        <v>548</v>
      </c>
      <c r="M311" s="8" t="s">
        <v>32</v>
      </c>
      <c r="N311" s="8">
        <v>60</v>
      </c>
      <c r="O311" s="8" t="s">
        <v>46</v>
      </c>
      <c r="P311" s="8" t="str">
        <f t="shared" si="8"/>
        <v>Valid</v>
      </c>
      <c r="Q311" s="8" t="str">
        <f t="shared" si="9"/>
        <v>Not valid</v>
      </c>
    </row>
    <row r="312" spans="1:17" ht="13.8">
      <c r="A312" s="8" t="s">
        <v>356</v>
      </c>
      <c r="B312" s="8" t="s">
        <v>38</v>
      </c>
      <c r="C312" s="8" t="s">
        <v>27</v>
      </c>
      <c r="D312" s="7">
        <v>45929</v>
      </c>
      <c r="E312" s="7">
        <v>45819</v>
      </c>
      <c r="F312" s="8">
        <v>0</v>
      </c>
      <c r="G312" s="8" t="s">
        <v>48</v>
      </c>
      <c r="H312" s="8" t="s">
        <v>35</v>
      </c>
      <c r="I312" s="8" t="s">
        <v>546</v>
      </c>
      <c r="J312" s="8" t="s">
        <v>20</v>
      </c>
      <c r="K312" s="8" t="s">
        <v>43</v>
      </c>
      <c r="L312" s="8" t="s">
        <v>22</v>
      </c>
      <c r="M312" s="8" t="s">
        <v>23</v>
      </c>
      <c r="N312" s="8">
        <v>46</v>
      </c>
      <c r="O312" s="8" t="s">
        <v>46</v>
      </c>
      <c r="P312" s="8" t="str">
        <f t="shared" si="8"/>
        <v>not valid</v>
      </c>
      <c r="Q312" s="8" t="str">
        <f t="shared" si="9"/>
        <v>Valid</v>
      </c>
    </row>
    <row r="313" spans="1:17" ht="13.8">
      <c r="A313" s="8" t="s">
        <v>357</v>
      </c>
      <c r="B313" s="8" t="s">
        <v>26</v>
      </c>
      <c r="C313" s="8" t="s">
        <v>39</v>
      </c>
      <c r="D313" s="7">
        <v>45676</v>
      </c>
      <c r="E313" s="7">
        <v>45676</v>
      </c>
      <c r="F313" s="8">
        <v>0</v>
      </c>
      <c r="G313" s="8" t="s">
        <v>34</v>
      </c>
      <c r="H313" s="8" t="s">
        <v>19</v>
      </c>
      <c r="I313" s="8" t="s">
        <v>546</v>
      </c>
      <c r="J313" s="8" t="s">
        <v>30</v>
      </c>
      <c r="K313" s="8" t="s">
        <v>21</v>
      </c>
      <c r="L313" s="8" t="s">
        <v>22</v>
      </c>
      <c r="M313" s="8" t="s">
        <v>23</v>
      </c>
      <c r="N313" s="8">
        <v>84</v>
      </c>
      <c r="O313" s="8" t="s">
        <v>46</v>
      </c>
      <c r="P313" s="8" t="str">
        <f t="shared" si="8"/>
        <v>Valid</v>
      </c>
      <c r="Q313" s="8" t="str">
        <f t="shared" si="9"/>
        <v>Valid</v>
      </c>
    </row>
    <row r="314" spans="1:17" ht="13.8">
      <c r="A314" s="8" t="s">
        <v>358</v>
      </c>
      <c r="B314" s="8" t="s">
        <v>26</v>
      </c>
      <c r="C314" s="8" t="s">
        <v>39</v>
      </c>
      <c r="D314" s="7">
        <v>45733</v>
      </c>
      <c r="E314" s="7">
        <v>45733</v>
      </c>
      <c r="F314" s="8">
        <v>0</v>
      </c>
      <c r="G314" s="8" t="s">
        <v>28</v>
      </c>
      <c r="H314" s="8" t="s">
        <v>49</v>
      </c>
      <c r="I314" s="8" t="s">
        <v>546</v>
      </c>
      <c r="J314" s="8" t="s">
        <v>30</v>
      </c>
      <c r="K314" s="8" t="s">
        <v>31</v>
      </c>
      <c r="L314" s="8" t="s">
        <v>27</v>
      </c>
      <c r="M314" s="8" t="s">
        <v>32</v>
      </c>
      <c r="N314" s="8">
        <v>62</v>
      </c>
      <c r="O314" s="8" t="s">
        <v>24</v>
      </c>
      <c r="P314" s="8" t="str">
        <f t="shared" si="8"/>
        <v>Valid</v>
      </c>
      <c r="Q314" s="8" t="str">
        <f t="shared" si="9"/>
        <v>Valid</v>
      </c>
    </row>
    <row r="315" spans="1:17" ht="13.8">
      <c r="A315" s="8" t="s">
        <v>359</v>
      </c>
      <c r="B315" s="8" t="s">
        <v>26</v>
      </c>
      <c r="C315" s="8" t="s">
        <v>17</v>
      </c>
      <c r="D315" s="7">
        <v>45878</v>
      </c>
      <c r="E315" s="7">
        <v>45819</v>
      </c>
      <c r="F315" s="8">
        <v>4845</v>
      </c>
      <c r="G315" s="8" t="s">
        <v>34</v>
      </c>
      <c r="H315" s="8" t="s">
        <v>49</v>
      </c>
      <c r="I315" s="7">
        <v>45787</v>
      </c>
      <c r="J315" s="8" t="s">
        <v>30</v>
      </c>
      <c r="K315" s="8" t="s">
        <v>21</v>
      </c>
      <c r="L315" s="8" t="s">
        <v>548</v>
      </c>
      <c r="M315" s="8" t="s">
        <v>45</v>
      </c>
      <c r="N315" s="8">
        <v>31</v>
      </c>
      <c r="O315" s="8" t="s">
        <v>24</v>
      </c>
      <c r="P315" s="8" t="str">
        <f t="shared" si="8"/>
        <v>not valid</v>
      </c>
      <c r="Q315" s="8" t="str">
        <f t="shared" si="9"/>
        <v>Not valid</v>
      </c>
    </row>
    <row r="316" spans="1:17" ht="13.8">
      <c r="A316" s="8" t="s">
        <v>360</v>
      </c>
      <c r="B316" s="8" t="s">
        <v>16</v>
      </c>
      <c r="C316" s="8" t="s">
        <v>27</v>
      </c>
      <c r="D316" s="7">
        <v>45791</v>
      </c>
      <c r="E316" s="7">
        <v>45873</v>
      </c>
      <c r="F316" s="8">
        <v>0</v>
      </c>
      <c r="G316" s="8" t="s">
        <v>34</v>
      </c>
      <c r="H316" s="8" t="s">
        <v>29</v>
      </c>
      <c r="I316" s="8" t="s">
        <v>546</v>
      </c>
      <c r="J316" s="8" t="s">
        <v>30</v>
      </c>
      <c r="K316" s="8" t="s">
        <v>31</v>
      </c>
      <c r="L316" s="8" t="s">
        <v>41</v>
      </c>
      <c r="M316" s="8" t="s">
        <v>45</v>
      </c>
      <c r="N316" s="8">
        <v>43</v>
      </c>
      <c r="O316" s="8" t="s">
        <v>24</v>
      </c>
      <c r="P316" s="8" t="str">
        <f t="shared" si="8"/>
        <v>Valid</v>
      </c>
      <c r="Q316" s="8" t="str">
        <f t="shared" si="9"/>
        <v>Valid</v>
      </c>
    </row>
    <row r="317" spans="1:17" ht="13.8">
      <c r="A317" s="8" t="s">
        <v>361</v>
      </c>
      <c r="B317" s="8" t="s">
        <v>26</v>
      </c>
      <c r="C317" s="8" t="s">
        <v>17</v>
      </c>
      <c r="D317" s="7">
        <v>45737</v>
      </c>
      <c r="E317" s="7">
        <v>45821</v>
      </c>
      <c r="F317" s="8">
        <v>2949</v>
      </c>
      <c r="G317" s="8" t="s">
        <v>34</v>
      </c>
      <c r="H317" s="8" t="s">
        <v>19</v>
      </c>
      <c r="I317" s="7">
        <v>45921</v>
      </c>
      <c r="J317" s="8" t="s">
        <v>20</v>
      </c>
      <c r="K317" s="8" t="s">
        <v>21</v>
      </c>
      <c r="L317" s="8" t="s">
        <v>27</v>
      </c>
      <c r="M317" s="8" t="s">
        <v>36</v>
      </c>
      <c r="N317" s="8">
        <v>78</v>
      </c>
      <c r="O317" s="8" t="s">
        <v>46</v>
      </c>
      <c r="P317" s="8" t="str">
        <f t="shared" si="8"/>
        <v>Valid</v>
      </c>
      <c r="Q317" s="8" t="str">
        <f t="shared" si="9"/>
        <v>Valid</v>
      </c>
    </row>
    <row r="318" spans="1:17" ht="13.8">
      <c r="A318" s="8" t="s">
        <v>362</v>
      </c>
      <c r="B318" s="8" t="s">
        <v>16</v>
      </c>
      <c r="C318" s="8" t="s">
        <v>27</v>
      </c>
      <c r="D318" s="7">
        <v>45871</v>
      </c>
      <c r="E318" s="7">
        <v>45689</v>
      </c>
      <c r="F318" s="8">
        <v>0</v>
      </c>
      <c r="G318" s="8" t="s">
        <v>48</v>
      </c>
      <c r="H318" s="8" t="s">
        <v>35</v>
      </c>
      <c r="I318" s="8" t="s">
        <v>546</v>
      </c>
      <c r="J318" s="8" t="s">
        <v>30</v>
      </c>
      <c r="K318" s="8" t="s">
        <v>43</v>
      </c>
      <c r="L318" s="8" t="s">
        <v>41</v>
      </c>
      <c r="M318" s="8" t="s">
        <v>45</v>
      </c>
      <c r="N318" s="8">
        <v>55</v>
      </c>
      <c r="O318" s="8" t="s">
        <v>24</v>
      </c>
      <c r="P318" s="8" t="str">
        <f t="shared" si="8"/>
        <v>not valid</v>
      </c>
      <c r="Q318" s="8" t="str">
        <f t="shared" si="9"/>
        <v>Valid</v>
      </c>
    </row>
    <row r="319" spans="1:17" ht="13.8">
      <c r="A319" s="8" t="s">
        <v>363</v>
      </c>
      <c r="B319" s="8" t="s">
        <v>51</v>
      </c>
      <c r="C319" s="8" t="s">
        <v>17</v>
      </c>
      <c r="D319" s="7">
        <v>45764</v>
      </c>
      <c r="E319" s="7">
        <v>45778</v>
      </c>
      <c r="F319" s="8">
        <v>3184</v>
      </c>
      <c r="G319" s="8" t="s">
        <v>34</v>
      </c>
      <c r="H319" s="8" t="s">
        <v>29</v>
      </c>
      <c r="I319" s="7">
        <v>45683</v>
      </c>
      <c r="J319" s="8" t="s">
        <v>30</v>
      </c>
      <c r="K319" s="8" t="s">
        <v>21</v>
      </c>
      <c r="L319" s="8" t="s">
        <v>548</v>
      </c>
      <c r="M319" s="8" t="s">
        <v>23</v>
      </c>
      <c r="N319" s="8">
        <v>42</v>
      </c>
      <c r="O319" s="8" t="s">
        <v>24</v>
      </c>
      <c r="P319" s="8" t="str">
        <f t="shared" si="8"/>
        <v>Valid</v>
      </c>
      <c r="Q319" s="8" t="str">
        <f t="shared" si="9"/>
        <v>Not valid</v>
      </c>
    </row>
    <row r="320" spans="1:17" ht="13.8">
      <c r="A320" s="8" t="s">
        <v>364</v>
      </c>
      <c r="B320" s="8" t="s">
        <v>16</v>
      </c>
      <c r="C320" s="8" t="s">
        <v>27</v>
      </c>
      <c r="D320" s="7">
        <v>45863</v>
      </c>
      <c r="E320" s="7">
        <v>45728</v>
      </c>
      <c r="F320" s="8">
        <v>0</v>
      </c>
      <c r="G320" s="8" t="s">
        <v>28</v>
      </c>
      <c r="H320" s="8" t="s">
        <v>49</v>
      </c>
      <c r="I320" s="8" t="s">
        <v>546</v>
      </c>
      <c r="J320" s="8" t="s">
        <v>30</v>
      </c>
      <c r="K320" s="8" t="s">
        <v>40</v>
      </c>
      <c r="L320" s="8" t="s">
        <v>22</v>
      </c>
      <c r="M320" s="8" t="s">
        <v>45</v>
      </c>
      <c r="N320" s="8">
        <v>88</v>
      </c>
      <c r="O320" s="8" t="s">
        <v>52</v>
      </c>
      <c r="P320" s="8" t="str">
        <f t="shared" si="8"/>
        <v>not valid</v>
      </c>
      <c r="Q320" s="8" t="str">
        <f t="shared" si="9"/>
        <v>Valid</v>
      </c>
    </row>
    <row r="321" spans="1:17" ht="13.8">
      <c r="A321" s="8" t="s">
        <v>365</v>
      </c>
      <c r="B321" s="8" t="s">
        <v>38</v>
      </c>
      <c r="C321" s="8" t="s">
        <v>27</v>
      </c>
      <c r="D321" s="7">
        <v>45886</v>
      </c>
      <c r="E321" s="7">
        <v>45714</v>
      </c>
      <c r="F321" s="8">
        <v>0</v>
      </c>
      <c r="G321" s="8" t="s">
        <v>48</v>
      </c>
      <c r="H321" s="8" t="s">
        <v>29</v>
      </c>
      <c r="I321" s="8" t="s">
        <v>546</v>
      </c>
      <c r="J321" s="8" t="s">
        <v>20</v>
      </c>
      <c r="K321" s="8" t="s">
        <v>43</v>
      </c>
      <c r="L321" s="8" t="s">
        <v>22</v>
      </c>
      <c r="M321" s="8" t="s">
        <v>32</v>
      </c>
      <c r="N321" s="8">
        <v>44</v>
      </c>
      <c r="O321" s="8" t="s">
        <v>24</v>
      </c>
      <c r="P321" s="8" t="str">
        <f t="shared" si="8"/>
        <v>not valid</v>
      </c>
      <c r="Q321" s="8" t="str">
        <f t="shared" si="9"/>
        <v>Valid</v>
      </c>
    </row>
    <row r="322" spans="1:17" ht="13.8">
      <c r="A322" s="8" t="s">
        <v>366</v>
      </c>
      <c r="B322" s="8" t="s">
        <v>51</v>
      </c>
      <c r="C322" s="8" t="s">
        <v>17</v>
      </c>
      <c r="D322" s="7">
        <v>45804</v>
      </c>
      <c r="E322" s="7">
        <v>45833</v>
      </c>
      <c r="F322" s="8">
        <v>3166</v>
      </c>
      <c r="G322" s="8" t="s">
        <v>48</v>
      </c>
      <c r="H322" s="8" t="s">
        <v>35</v>
      </c>
      <c r="I322" s="7">
        <v>45779</v>
      </c>
      <c r="J322" s="8" t="s">
        <v>20</v>
      </c>
      <c r="K322" s="8" t="s">
        <v>40</v>
      </c>
      <c r="L322" s="8" t="s">
        <v>22</v>
      </c>
      <c r="M322" s="8" t="s">
        <v>32</v>
      </c>
      <c r="N322" s="8">
        <v>69</v>
      </c>
      <c r="O322" s="8" t="s">
        <v>52</v>
      </c>
      <c r="P322" s="8" t="str">
        <f t="shared" ref="P322:P385" si="10">IF(OR(D322&lt;E322,D322=E322), "Valid","not valid")</f>
        <v>Valid</v>
      </c>
      <c r="Q322" s="8" t="str">
        <f t="shared" ref="Q322:Q385" si="11">IF(OR(D322 &lt;I322,D322=I322),"Valid","Not valid")</f>
        <v>Not valid</v>
      </c>
    </row>
    <row r="323" spans="1:17" ht="13.8">
      <c r="A323" s="8" t="s">
        <v>367</v>
      </c>
      <c r="B323" s="8" t="s">
        <v>51</v>
      </c>
      <c r="C323" s="8" t="s">
        <v>39</v>
      </c>
      <c r="D323" s="7">
        <v>45934</v>
      </c>
      <c r="E323" s="7">
        <v>45934</v>
      </c>
      <c r="F323" s="8">
        <v>0</v>
      </c>
      <c r="G323" s="8" t="s">
        <v>34</v>
      </c>
      <c r="H323" s="8" t="s">
        <v>49</v>
      </c>
      <c r="I323" s="8" t="s">
        <v>546</v>
      </c>
      <c r="J323" s="8" t="s">
        <v>30</v>
      </c>
      <c r="K323" s="8" t="s">
        <v>43</v>
      </c>
      <c r="L323" s="8" t="s">
        <v>27</v>
      </c>
      <c r="M323" s="8" t="s">
        <v>36</v>
      </c>
      <c r="N323" s="8">
        <v>88</v>
      </c>
      <c r="O323" s="8" t="s">
        <v>24</v>
      </c>
      <c r="P323" s="8" t="str">
        <f t="shared" si="10"/>
        <v>Valid</v>
      </c>
      <c r="Q323" s="8" t="str">
        <f t="shared" si="11"/>
        <v>Valid</v>
      </c>
    </row>
    <row r="324" spans="1:17" ht="13.8">
      <c r="A324" s="8" t="s">
        <v>368</v>
      </c>
      <c r="B324" s="8" t="s">
        <v>51</v>
      </c>
      <c r="C324" s="8" t="s">
        <v>17</v>
      </c>
      <c r="D324" s="7">
        <v>45895</v>
      </c>
      <c r="E324" s="7">
        <v>45796</v>
      </c>
      <c r="F324" s="8">
        <v>4544</v>
      </c>
      <c r="G324" s="8" t="s">
        <v>48</v>
      </c>
      <c r="H324" s="8" t="s">
        <v>29</v>
      </c>
      <c r="I324" s="7">
        <v>45819</v>
      </c>
      <c r="J324" s="8" t="s">
        <v>20</v>
      </c>
      <c r="K324" s="8" t="s">
        <v>31</v>
      </c>
      <c r="L324" s="8" t="s">
        <v>547</v>
      </c>
      <c r="M324" s="8" t="s">
        <v>23</v>
      </c>
      <c r="N324" s="8">
        <v>41</v>
      </c>
      <c r="O324" s="8" t="s">
        <v>52</v>
      </c>
      <c r="P324" s="8" t="str">
        <f t="shared" si="10"/>
        <v>not valid</v>
      </c>
      <c r="Q324" s="8" t="str">
        <f t="shared" si="11"/>
        <v>Not valid</v>
      </c>
    </row>
    <row r="325" spans="1:17" ht="13.8">
      <c r="A325" s="8" t="s">
        <v>369</v>
      </c>
      <c r="B325" s="8" t="s">
        <v>51</v>
      </c>
      <c r="C325" s="8" t="s">
        <v>17</v>
      </c>
      <c r="D325" s="7">
        <v>45842</v>
      </c>
      <c r="E325" s="7">
        <v>45935</v>
      </c>
      <c r="F325" s="8">
        <v>3281</v>
      </c>
      <c r="G325" s="8" t="s">
        <v>34</v>
      </c>
      <c r="H325" s="8" t="s">
        <v>29</v>
      </c>
      <c r="I325" s="7">
        <v>45927</v>
      </c>
      <c r="J325" s="8" t="s">
        <v>20</v>
      </c>
      <c r="K325" s="8" t="s">
        <v>31</v>
      </c>
      <c r="L325" s="8" t="s">
        <v>22</v>
      </c>
      <c r="M325" s="8" t="s">
        <v>23</v>
      </c>
      <c r="N325" s="8">
        <v>69</v>
      </c>
      <c r="O325" s="8" t="s">
        <v>52</v>
      </c>
      <c r="P325" s="8" t="str">
        <f t="shared" si="10"/>
        <v>Valid</v>
      </c>
      <c r="Q325" s="8" t="str">
        <f t="shared" si="11"/>
        <v>Valid</v>
      </c>
    </row>
    <row r="326" spans="1:17" ht="13.8">
      <c r="A326" s="8" t="s">
        <v>370</v>
      </c>
      <c r="B326" s="8" t="s">
        <v>16</v>
      </c>
      <c r="C326" s="8" t="s">
        <v>27</v>
      </c>
      <c r="D326" s="7">
        <v>45695</v>
      </c>
      <c r="E326" s="7">
        <v>45753</v>
      </c>
      <c r="F326" s="8">
        <v>0</v>
      </c>
      <c r="G326" s="8" t="s">
        <v>18</v>
      </c>
      <c r="H326" s="8" t="s">
        <v>19</v>
      </c>
      <c r="I326" s="8" t="s">
        <v>546</v>
      </c>
      <c r="J326" s="8" t="s">
        <v>20</v>
      </c>
      <c r="K326" s="8" t="s">
        <v>43</v>
      </c>
      <c r="L326" s="8" t="s">
        <v>22</v>
      </c>
      <c r="M326" s="8" t="s">
        <v>32</v>
      </c>
      <c r="N326" s="8">
        <v>36</v>
      </c>
      <c r="O326" s="8" t="s">
        <v>52</v>
      </c>
      <c r="P326" s="8" t="str">
        <f t="shared" si="10"/>
        <v>Valid</v>
      </c>
      <c r="Q326" s="8" t="str">
        <f t="shared" si="11"/>
        <v>Valid</v>
      </c>
    </row>
    <row r="327" spans="1:17" ht="13.8">
      <c r="A327" s="8" t="s">
        <v>371</v>
      </c>
      <c r="B327" s="8" t="s">
        <v>38</v>
      </c>
      <c r="C327" s="8" t="s">
        <v>17</v>
      </c>
      <c r="D327" s="7">
        <v>45839</v>
      </c>
      <c r="E327" s="7">
        <v>45767</v>
      </c>
      <c r="F327" s="8">
        <v>2057</v>
      </c>
      <c r="G327" s="8" t="s">
        <v>48</v>
      </c>
      <c r="H327" s="8" t="s">
        <v>49</v>
      </c>
      <c r="I327" s="7">
        <v>45830</v>
      </c>
      <c r="J327" s="8" t="s">
        <v>30</v>
      </c>
      <c r="K327" s="8" t="s">
        <v>40</v>
      </c>
      <c r="L327" s="8" t="s">
        <v>22</v>
      </c>
      <c r="M327" s="8" t="s">
        <v>32</v>
      </c>
      <c r="N327" s="8">
        <v>73</v>
      </c>
      <c r="O327" s="8" t="s">
        <v>52</v>
      </c>
      <c r="P327" s="8" t="str">
        <f t="shared" si="10"/>
        <v>not valid</v>
      </c>
      <c r="Q327" s="8" t="str">
        <f t="shared" si="11"/>
        <v>Not valid</v>
      </c>
    </row>
    <row r="328" spans="1:17" ht="13.8">
      <c r="A328" s="8" t="s">
        <v>372</v>
      </c>
      <c r="B328" s="8" t="s">
        <v>26</v>
      </c>
      <c r="C328" s="8" t="s">
        <v>17</v>
      </c>
      <c r="D328" s="7">
        <v>45756</v>
      </c>
      <c r="E328" s="7">
        <v>45664</v>
      </c>
      <c r="F328" s="8">
        <v>4624</v>
      </c>
      <c r="G328" s="8" t="s">
        <v>18</v>
      </c>
      <c r="H328" s="8" t="s">
        <v>29</v>
      </c>
      <c r="I328" s="7">
        <v>45928</v>
      </c>
      <c r="J328" s="8" t="s">
        <v>30</v>
      </c>
      <c r="K328" s="8" t="s">
        <v>40</v>
      </c>
      <c r="L328" s="8" t="s">
        <v>547</v>
      </c>
      <c r="M328" s="8" t="s">
        <v>23</v>
      </c>
      <c r="N328" s="8">
        <v>64</v>
      </c>
      <c r="O328" s="8" t="s">
        <v>46</v>
      </c>
      <c r="P328" s="8" t="str">
        <f t="shared" si="10"/>
        <v>not valid</v>
      </c>
      <c r="Q328" s="8" t="str">
        <f t="shared" si="11"/>
        <v>Valid</v>
      </c>
    </row>
    <row r="329" spans="1:17" ht="13.8">
      <c r="A329" s="8" t="s">
        <v>373</v>
      </c>
      <c r="B329" s="8" t="s">
        <v>26</v>
      </c>
      <c r="C329" s="8" t="s">
        <v>17</v>
      </c>
      <c r="D329" s="7">
        <v>45843</v>
      </c>
      <c r="E329" s="7">
        <v>45853</v>
      </c>
      <c r="F329" s="8">
        <v>2978</v>
      </c>
      <c r="G329" s="8" t="s">
        <v>34</v>
      </c>
      <c r="H329" s="8" t="s">
        <v>29</v>
      </c>
      <c r="I329" s="7">
        <v>45849</v>
      </c>
      <c r="J329" s="8" t="s">
        <v>30</v>
      </c>
      <c r="K329" s="8" t="s">
        <v>43</v>
      </c>
      <c r="L329" s="8" t="s">
        <v>548</v>
      </c>
      <c r="M329" s="8" t="s">
        <v>32</v>
      </c>
      <c r="N329" s="8">
        <v>70</v>
      </c>
      <c r="O329" s="8" t="s">
        <v>52</v>
      </c>
      <c r="P329" s="8" t="str">
        <f t="shared" si="10"/>
        <v>Valid</v>
      </c>
      <c r="Q329" s="8" t="str">
        <f t="shared" si="11"/>
        <v>Valid</v>
      </c>
    </row>
    <row r="330" spans="1:17" ht="13.8">
      <c r="A330" s="8" t="s">
        <v>374</v>
      </c>
      <c r="B330" s="8" t="s">
        <v>26</v>
      </c>
      <c r="C330" s="8" t="s">
        <v>27</v>
      </c>
      <c r="D330" s="7">
        <v>45918</v>
      </c>
      <c r="E330" s="7">
        <v>45899</v>
      </c>
      <c r="F330" s="8">
        <v>0</v>
      </c>
      <c r="G330" s="8" t="s">
        <v>28</v>
      </c>
      <c r="H330" s="8" t="s">
        <v>49</v>
      </c>
      <c r="I330" s="8" t="s">
        <v>546</v>
      </c>
      <c r="J330" s="8" t="s">
        <v>30</v>
      </c>
      <c r="K330" s="8" t="s">
        <v>40</v>
      </c>
      <c r="L330" s="8" t="s">
        <v>22</v>
      </c>
      <c r="M330" s="8" t="s">
        <v>32</v>
      </c>
      <c r="N330" s="8">
        <v>57</v>
      </c>
      <c r="O330" s="8" t="s">
        <v>52</v>
      </c>
      <c r="P330" s="8" t="str">
        <f t="shared" si="10"/>
        <v>not valid</v>
      </c>
      <c r="Q330" s="8" t="str">
        <f t="shared" si="11"/>
        <v>Valid</v>
      </c>
    </row>
    <row r="331" spans="1:17" ht="13.8">
      <c r="A331" s="8" t="s">
        <v>375</v>
      </c>
      <c r="B331" s="8" t="s">
        <v>51</v>
      </c>
      <c r="C331" s="8" t="s">
        <v>27</v>
      </c>
      <c r="D331" s="7">
        <v>45876</v>
      </c>
      <c r="E331" s="7">
        <v>45898</v>
      </c>
      <c r="F331" s="8">
        <v>0</v>
      </c>
      <c r="G331" s="8" t="s">
        <v>28</v>
      </c>
      <c r="H331" s="8" t="s">
        <v>49</v>
      </c>
      <c r="I331" s="8" t="s">
        <v>546</v>
      </c>
      <c r="J331" s="8" t="s">
        <v>20</v>
      </c>
      <c r="K331" s="8" t="s">
        <v>31</v>
      </c>
      <c r="L331" s="8" t="s">
        <v>27</v>
      </c>
      <c r="M331" s="8" t="s">
        <v>23</v>
      </c>
      <c r="N331" s="8">
        <v>45</v>
      </c>
      <c r="O331" s="8" t="s">
        <v>24</v>
      </c>
      <c r="P331" s="8" t="str">
        <f t="shared" si="10"/>
        <v>Valid</v>
      </c>
      <c r="Q331" s="8" t="str">
        <f t="shared" si="11"/>
        <v>Valid</v>
      </c>
    </row>
    <row r="332" spans="1:17" ht="13.8">
      <c r="A332" s="8" t="s">
        <v>376</v>
      </c>
      <c r="B332" s="8" t="s">
        <v>16</v>
      </c>
      <c r="C332" s="8" t="s">
        <v>17</v>
      </c>
      <c r="D332" s="7">
        <v>45745</v>
      </c>
      <c r="E332" s="7">
        <v>45827</v>
      </c>
      <c r="F332" s="8">
        <v>4628</v>
      </c>
      <c r="G332" s="8" t="s">
        <v>28</v>
      </c>
      <c r="H332" s="8" t="s">
        <v>19</v>
      </c>
      <c r="I332" s="7">
        <v>45929</v>
      </c>
      <c r="J332" s="8" t="s">
        <v>20</v>
      </c>
      <c r="K332" s="8" t="s">
        <v>21</v>
      </c>
      <c r="L332" s="8" t="s">
        <v>22</v>
      </c>
      <c r="M332" s="8" t="s">
        <v>45</v>
      </c>
      <c r="N332" s="8">
        <v>74</v>
      </c>
      <c r="O332" s="8" t="s">
        <v>46</v>
      </c>
      <c r="P332" s="8" t="str">
        <f t="shared" si="10"/>
        <v>Valid</v>
      </c>
      <c r="Q332" s="8" t="str">
        <f t="shared" si="11"/>
        <v>Valid</v>
      </c>
    </row>
    <row r="333" spans="1:17" ht="13.8">
      <c r="A333" s="8" t="s">
        <v>377</v>
      </c>
      <c r="B333" s="8" t="s">
        <v>38</v>
      </c>
      <c r="C333" s="8" t="s">
        <v>27</v>
      </c>
      <c r="D333" s="7">
        <v>45739</v>
      </c>
      <c r="E333" s="7">
        <v>45699</v>
      </c>
      <c r="F333" s="8">
        <v>0</v>
      </c>
      <c r="G333" s="8" t="s">
        <v>34</v>
      </c>
      <c r="H333" s="8" t="s">
        <v>29</v>
      </c>
      <c r="I333" s="8" t="s">
        <v>546</v>
      </c>
      <c r="J333" s="8" t="s">
        <v>30</v>
      </c>
      <c r="K333" s="8" t="s">
        <v>21</v>
      </c>
      <c r="L333" s="8" t="s">
        <v>44</v>
      </c>
      <c r="M333" s="8" t="s">
        <v>23</v>
      </c>
      <c r="N333" s="8">
        <v>90</v>
      </c>
      <c r="O333" s="8" t="s">
        <v>52</v>
      </c>
      <c r="P333" s="8" t="str">
        <f t="shared" si="10"/>
        <v>not valid</v>
      </c>
      <c r="Q333" s="8" t="str">
        <f t="shared" si="11"/>
        <v>Valid</v>
      </c>
    </row>
    <row r="334" spans="1:17" ht="13.8">
      <c r="A334" s="8" t="s">
        <v>378</v>
      </c>
      <c r="B334" s="8" t="s">
        <v>51</v>
      </c>
      <c r="C334" s="8" t="s">
        <v>17</v>
      </c>
      <c r="D334" s="7">
        <v>45704</v>
      </c>
      <c r="E334" s="7">
        <v>45857</v>
      </c>
      <c r="F334" s="8">
        <v>4434</v>
      </c>
      <c r="G334" s="8" t="s">
        <v>34</v>
      </c>
      <c r="H334" s="8" t="s">
        <v>19</v>
      </c>
      <c r="I334" s="7">
        <v>45675</v>
      </c>
      <c r="J334" s="8" t="s">
        <v>30</v>
      </c>
      <c r="K334" s="8" t="s">
        <v>21</v>
      </c>
      <c r="L334" s="8" t="s">
        <v>27</v>
      </c>
      <c r="M334" s="8" t="s">
        <v>23</v>
      </c>
      <c r="N334" s="8">
        <v>54</v>
      </c>
      <c r="O334" s="8" t="s">
        <v>24</v>
      </c>
      <c r="P334" s="8" t="str">
        <f t="shared" si="10"/>
        <v>Valid</v>
      </c>
      <c r="Q334" s="8" t="str">
        <f t="shared" si="11"/>
        <v>Not valid</v>
      </c>
    </row>
    <row r="335" spans="1:17" ht="13.8">
      <c r="A335" s="8" t="s">
        <v>379</v>
      </c>
      <c r="B335" s="8" t="s">
        <v>38</v>
      </c>
      <c r="C335" s="8" t="s">
        <v>27</v>
      </c>
      <c r="D335" s="7">
        <v>45860</v>
      </c>
      <c r="E335" s="7">
        <v>45767</v>
      </c>
      <c r="F335" s="8">
        <v>0</v>
      </c>
      <c r="G335" s="8" t="s">
        <v>34</v>
      </c>
      <c r="H335" s="8" t="s">
        <v>19</v>
      </c>
      <c r="I335" s="8" t="s">
        <v>546</v>
      </c>
      <c r="J335" s="8" t="s">
        <v>30</v>
      </c>
      <c r="K335" s="8" t="s">
        <v>40</v>
      </c>
      <c r="L335" s="8" t="s">
        <v>22</v>
      </c>
      <c r="M335" s="8" t="s">
        <v>32</v>
      </c>
      <c r="N335" s="8">
        <v>51</v>
      </c>
      <c r="O335" s="8" t="s">
        <v>52</v>
      </c>
      <c r="P335" s="8" t="str">
        <f t="shared" si="10"/>
        <v>not valid</v>
      </c>
      <c r="Q335" s="8" t="str">
        <f t="shared" si="11"/>
        <v>Valid</v>
      </c>
    </row>
    <row r="336" spans="1:17" ht="13.8">
      <c r="A336" s="8" t="s">
        <v>380</v>
      </c>
      <c r="B336" s="8" t="s">
        <v>38</v>
      </c>
      <c r="C336" s="8" t="s">
        <v>39</v>
      </c>
      <c r="D336" s="7">
        <v>45736</v>
      </c>
      <c r="E336" s="7">
        <v>45736</v>
      </c>
      <c r="F336" s="8">
        <v>0</v>
      </c>
      <c r="G336" s="8" t="s">
        <v>34</v>
      </c>
      <c r="H336" s="8" t="s">
        <v>19</v>
      </c>
      <c r="I336" s="8" t="s">
        <v>546</v>
      </c>
      <c r="J336" s="8" t="s">
        <v>30</v>
      </c>
      <c r="K336" s="8" t="s">
        <v>31</v>
      </c>
      <c r="L336" s="8" t="s">
        <v>22</v>
      </c>
      <c r="M336" s="8" t="s">
        <v>36</v>
      </c>
      <c r="N336" s="8">
        <v>65</v>
      </c>
      <c r="O336" s="8" t="s">
        <v>52</v>
      </c>
      <c r="P336" s="8" t="str">
        <f t="shared" si="10"/>
        <v>Valid</v>
      </c>
      <c r="Q336" s="8" t="str">
        <f t="shared" si="11"/>
        <v>Valid</v>
      </c>
    </row>
    <row r="337" spans="1:17" ht="13.8">
      <c r="A337" s="8" t="s">
        <v>381</v>
      </c>
      <c r="B337" s="8" t="s">
        <v>38</v>
      </c>
      <c r="C337" s="8" t="s">
        <v>17</v>
      </c>
      <c r="D337" s="7">
        <v>45833</v>
      </c>
      <c r="E337" s="7">
        <v>45742</v>
      </c>
      <c r="F337" s="8">
        <v>2841</v>
      </c>
      <c r="G337" s="8" t="s">
        <v>18</v>
      </c>
      <c r="H337" s="8" t="s">
        <v>29</v>
      </c>
      <c r="I337" s="7">
        <v>45684</v>
      </c>
      <c r="J337" s="8" t="s">
        <v>20</v>
      </c>
      <c r="K337" s="8" t="s">
        <v>43</v>
      </c>
      <c r="L337" s="8" t="s">
        <v>548</v>
      </c>
      <c r="M337" s="8" t="s">
        <v>36</v>
      </c>
      <c r="N337" s="8">
        <v>70</v>
      </c>
      <c r="O337" s="8" t="s">
        <v>24</v>
      </c>
      <c r="P337" s="8" t="str">
        <f t="shared" si="10"/>
        <v>not valid</v>
      </c>
      <c r="Q337" s="8" t="str">
        <f t="shared" si="11"/>
        <v>Not valid</v>
      </c>
    </row>
    <row r="338" spans="1:17" ht="13.8">
      <c r="A338" s="8" t="s">
        <v>382</v>
      </c>
      <c r="B338" s="8" t="s">
        <v>51</v>
      </c>
      <c r="C338" s="8" t="s">
        <v>27</v>
      </c>
      <c r="D338" s="7">
        <v>45728</v>
      </c>
      <c r="E338" s="7">
        <v>45766</v>
      </c>
      <c r="F338" s="8">
        <v>0</v>
      </c>
      <c r="G338" s="8" t="s">
        <v>34</v>
      </c>
      <c r="H338" s="8" t="s">
        <v>29</v>
      </c>
      <c r="I338" s="8" t="s">
        <v>546</v>
      </c>
      <c r="J338" s="8" t="s">
        <v>30</v>
      </c>
      <c r="K338" s="8" t="s">
        <v>21</v>
      </c>
      <c r="L338" s="8" t="s">
        <v>22</v>
      </c>
      <c r="M338" s="8" t="s">
        <v>23</v>
      </c>
      <c r="N338" s="8">
        <v>52</v>
      </c>
      <c r="O338" s="8" t="s">
        <v>24</v>
      </c>
      <c r="P338" s="8" t="str">
        <f t="shared" si="10"/>
        <v>Valid</v>
      </c>
      <c r="Q338" s="8" t="str">
        <f t="shared" si="11"/>
        <v>Valid</v>
      </c>
    </row>
    <row r="339" spans="1:17" ht="13.8">
      <c r="A339" s="8" t="s">
        <v>383</v>
      </c>
      <c r="B339" s="8" t="s">
        <v>51</v>
      </c>
      <c r="C339" s="8" t="s">
        <v>39</v>
      </c>
      <c r="D339" s="7">
        <v>45926</v>
      </c>
      <c r="E339" s="7">
        <v>45926</v>
      </c>
      <c r="F339" s="8">
        <v>0</v>
      </c>
      <c r="G339" s="8" t="s">
        <v>18</v>
      </c>
      <c r="H339" s="8" t="s">
        <v>49</v>
      </c>
      <c r="I339" s="8" t="s">
        <v>546</v>
      </c>
      <c r="J339" s="8" t="s">
        <v>20</v>
      </c>
      <c r="K339" s="8" t="s">
        <v>40</v>
      </c>
      <c r="L339" s="8" t="s">
        <v>22</v>
      </c>
      <c r="M339" s="8" t="s">
        <v>45</v>
      </c>
      <c r="N339" s="8">
        <v>91</v>
      </c>
      <c r="O339" s="8" t="s">
        <v>24</v>
      </c>
      <c r="P339" s="8" t="str">
        <f t="shared" si="10"/>
        <v>Valid</v>
      </c>
      <c r="Q339" s="8" t="str">
        <f t="shared" si="11"/>
        <v>Valid</v>
      </c>
    </row>
    <row r="340" spans="1:17" ht="13.8">
      <c r="A340" s="8" t="s">
        <v>384</v>
      </c>
      <c r="B340" s="8" t="s">
        <v>38</v>
      </c>
      <c r="C340" s="8" t="s">
        <v>17</v>
      </c>
      <c r="D340" s="7">
        <v>45788</v>
      </c>
      <c r="E340" s="7">
        <v>45879</v>
      </c>
      <c r="F340" s="8">
        <v>3138</v>
      </c>
      <c r="G340" s="8" t="s">
        <v>48</v>
      </c>
      <c r="H340" s="8" t="s">
        <v>49</v>
      </c>
      <c r="I340" s="7">
        <v>45797</v>
      </c>
      <c r="J340" s="8" t="s">
        <v>30</v>
      </c>
      <c r="K340" s="8" t="s">
        <v>21</v>
      </c>
      <c r="L340" s="8" t="s">
        <v>548</v>
      </c>
      <c r="M340" s="8" t="s">
        <v>23</v>
      </c>
      <c r="N340" s="8">
        <v>48</v>
      </c>
      <c r="O340" s="8" t="s">
        <v>46</v>
      </c>
      <c r="P340" s="8" t="str">
        <f t="shared" si="10"/>
        <v>Valid</v>
      </c>
      <c r="Q340" s="8" t="str">
        <f t="shared" si="11"/>
        <v>Valid</v>
      </c>
    </row>
    <row r="341" spans="1:17" ht="13.8">
      <c r="A341" s="8" t="s">
        <v>385</v>
      </c>
      <c r="B341" s="8" t="s">
        <v>16</v>
      </c>
      <c r="C341" s="8" t="s">
        <v>17</v>
      </c>
      <c r="D341" s="7">
        <v>45803</v>
      </c>
      <c r="E341" s="7">
        <v>45699</v>
      </c>
      <c r="F341" s="8">
        <v>2947</v>
      </c>
      <c r="G341" s="8" t="s">
        <v>28</v>
      </c>
      <c r="H341" s="8" t="s">
        <v>49</v>
      </c>
      <c r="I341" s="7">
        <v>45775</v>
      </c>
      <c r="J341" s="8" t="s">
        <v>30</v>
      </c>
      <c r="K341" s="8" t="s">
        <v>31</v>
      </c>
      <c r="L341" s="8" t="s">
        <v>547</v>
      </c>
      <c r="M341" s="8" t="s">
        <v>45</v>
      </c>
      <c r="N341" s="8">
        <v>71</v>
      </c>
      <c r="O341" s="8" t="s">
        <v>24</v>
      </c>
      <c r="P341" s="8" t="str">
        <f t="shared" si="10"/>
        <v>not valid</v>
      </c>
      <c r="Q341" s="8" t="str">
        <f t="shared" si="11"/>
        <v>Not valid</v>
      </c>
    </row>
    <row r="342" spans="1:17" ht="13.8">
      <c r="A342" s="8" t="s">
        <v>386</v>
      </c>
      <c r="B342" s="8" t="s">
        <v>38</v>
      </c>
      <c r="C342" s="8" t="s">
        <v>39</v>
      </c>
      <c r="D342" s="7">
        <v>45878</v>
      </c>
      <c r="E342" s="7">
        <v>45878</v>
      </c>
      <c r="F342" s="8">
        <v>0</v>
      </c>
      <c r="G342" s="8" t="s">
        <v>48</v>
      </c>
      <c r="H342" s="8" t="s">
        <v>49</v>
      </c>
      <c r="I342" s="8" t="s">
        <v>546</v>
      </c>
      <c r="J342" s="8" t="s">
        <v>30</v>
      </c>
      <c r="K342" s="8" t="s">
        <v>43</v>
      </c>
      <c r="L342" s="8" t="s">
        <v>44</v>
      </c>
      <c r="M342" s="8" t="s">
        <v>36</v>
      </c>
      <c r="N342" s="8">
        <v>91</v>
      </c>
      <c r="O342" s="8" t="s">
        <v>52</v>
      </c>
      <c r="P342" s="8" t="str">
        <f t="shared" si="10"/>
        <v>Valid</v>
      </c>
      <c r="Q342" s="8" t="str">
        <f t="shared" si="11"/>
        <v>Valid</v>
      </c>
    </row>
    <row r="343" spans="1:17" ht="13.8">
      <c r="A343" s="8" t="s">
        <v>387</v>
      </c>
      <c r="B343" s="8" t="s">
        <v>16</v>
      </c>
      <c r="C343" s="8" t="s">
        <v>27</v>
      </c>
      <c r="D343" s="7">
        <v>45910</v>
      </c>
      <c r="E343" s="7">
        <v>45761</v>
      </c>
      <c r="F343" s="8">
        <v>0</v>
      </c>
      <c r="G343" s="8" t="s">
        <v>18</v>
      </c>
      <c r="H343" s="8" t="s">
        <v>29</v>
      </c>
      <c r="I343" s="8" t="s">
        <v>546</v>
      </c>
      <c r="J343" s="8" t="s">
        <v>30</v>
      </c>
      <c r="K343" s="8" t="s">
        <v>21</v>
      </c>
      <c r="L343" s="8" t="s">
        <v>22</v>
      </c>
      <c r="M343" s="8" t="s">
        <v>32</v>
      </c>
      <c r="N343" s="8">
        <v>84</v>
      </c>
      <c r="O343" s="8" t="s">
        <v>24</v>
      </c>
      <c r="P343" s="8" t="str">
        <f t="shared" si="10"/>
        <v>not valid</v>
      </c>
      <c r="Q343" s="8" t="str">
        <f t="shared" si="11"/>
        <v>Valid</v>
      </c>
    </row>
    <row r="344" spans="1:17" ht="13.8">
      <c r="A344" s="8" t="s">
        <v>388</v>
      </c>
      <c r="B344" s="8" t="s">
        <v>38</v>
      </c>
      <c r="C344" s="8" t="s">
        <v>17</v>
      </c>
      <c r="D344" s="7">
        <v>45842</v>
      </c>
      <c r="E344" s="7">
        <v>45879</v>
      </c>
      <c r="F344" s="8">
        <v>2009</v>
      </c>
      <c r="G344" s="8" t="s">
        <v>18</v>
      </c>
      <c r="H344" s="8" t="s">
        <v>29</v>
      </c>
      <c r="I344" s="7">
        <v>45684</v>
      </c>
      <c r="J344" s="8" t="s">
        <v>30</v>
      </c>
      <c r="K344" s="8" t="s">
        <v>40</v>
      </c>
      <c r="L344" s="8" t="s">
        <v>27</v>
      </c>
      <c r="M344" s="8" t="s">
        <v>36</v>
      </c>
      <c r="N344" s="8">
        <v>49</v>
      </c>
      <c r="O344" s="8" t="s">
        <v>52</v>
      </c>
      <c r="P344" s="8" t="str">
        <f t="shared" si="10"/>
        <v>Valid</v>
      </c>
      <c r="Q344" s="8" t="str">
        <f t="shared" si="11"/>
        <v>Not valid</v>
      </c>
    </row>
    <row r="345" spans="1:17" ht="13.8">
      <c r="A345" s="8" t="s">
        <v>389</v>
      </c>
      <c r="B345" s="8" t="s">
        <v>51</v>
      </c>
      <c r="C345" s="8" t="s">
        <v>27</v>
      </c>
      <c r="D345" s="7">
        <v>45678</v>
      </c>
      <c r="E345" s="7">
        <v>45849</v>
      </c>
      <c r="F345" s="8">
        <v>0</v>
      </c>
      <c r="G345" s="8" t="s">
        <v>34</v>
      </c>
      <c r="H345" s="8" t="s">
        <v>29</v>
      </c>
      <c r="I345" s="8" t="s">
        <v>546</v>
      </c>
      <c r="J345" s="8" t="s">
        <v>20</v>
      </c>
      <c r="K345" s="8" t="s">
        <v>31</v>
      </c>
      <c r="L345" s="8" t="s">
        <v>27</v>
      </c>
      <c r="M345" s="8" t="s">
        <v>45</v>
      </c>
      <c r="N345" s="8">
        <v>31</v>
      </c>
      <c r="O345" s="8" t="s">
        <v>52</v>
      </c>
      <c r="P345" s="8" t="str">
        <f t="shared" si="10"/>
        <v>Valid</v>
      </c>
      <c r="Q345" s="8" t="str">
        <f t="shared" si="11"/>
        <v>Valid</v>
      </c>
    </row>
    <row r="346" spans="1:17" ht="13.8">
      <c r="A346" s="8" t="s">
        <v>390</v>
      </c>
      <c r="B346" s="8" t="s">
        <v>26</v>
      </c>
      <c r="C346" s="8" t="s">
        <v>39</v>
      </c>
      <c r="D346" s="7">
        <v>45784</v>
      </c>
      <c r="E346" s="7">
        <v>45784</v>
      </c>
      <c r="F346" s="8">
        <v>0</v>
      </c>
      <c r="G346" s="8" t="s">
        <v>28</v>
      </c>
      <c r="H346" s="8" t="s">
        <v>19</v>
      </c>
      <c r="I346" s="8" t="s">
        <v>546</v>
      </c>
      <c r="J346" s="8" t="s">
        <v>30</v>
      </c>
      <c r="K346" s="8" t="s">
        <v>40</v>
      </c>
      <c r="L346" s="8" t="s">
        <v>41</v>
      </c>
      <c r="M346" s="8" t="s">
        <v>32</v>
      </c>
      <c r="N346" s="8">
        <v>52</v>
      </c>
      <c r="O346" s="8" t="s">
        <v>52</v>
      </c>
      <c r="P346" s="8" t="str">
        <f t="shared" si="10"/>
        <v>Valid</v>
      </c>
      <c r="Q346" s="8" t="str">
        <f t="shared" si="11"/>
        <v>Valid</v>
      </c>
    </row>
    <row r="347" spans="1:17" ht="13.8">
      <c r="A347" s="8" t="s">
        <v>391</v>
      </c>
      <c r="B347" s="8" t="s">
        <v>16</v>
      </c>
      <c r="C347" s="8" t="s">
        <v>39</v>
      </c>
      <c r="D347" s="7">
        <v>45827</v>
      </c>
      <c r="E347" s="7">
        <v>45827</v>
      </c>
      <c r="F347" s="8">
        <v>0</v>
      </c>
      <c r="G347" s="8" t="s">
        <v>34</v>
      </c>
      <c r="H347" s="8" t="s">
        <v>49</v>
      </c>
      <c r="I347" s="8" t="s">
        <v>546</v>
      </c>
      <c r="J347" s="8" t="s">
        <v>20</v>
      </c>
      <c r="K347" s="8" t="s">
        <v>31</v>
      </c>
      <c r="L347" s="8" t="s">
        <v>44</v>
      </c>
      <c r="M347" s="8" t="s">
        <v>32</v>
      </c>
      <c r="N347" s="8">
        <v>69</v>
      </c>
      <c r="O347" s="8" t="s">
        <v>46</v>
      </c>
      <c r="P347" s="8" t="str">
        <f t="shared" si="10"/>
        <v>Valid</v>
      </c>
      <c r="Q347" s="8" t="str">
        <f t="shared" si="11"/>
        <v>Valid</v>
      </c>
    </row>
    <row r="348" spans="1:17" ht="13.8">
      <c r="A348" s="8" t="s">
        <v>392</v>
      </c>
      <c r="B348" s="8" t="s">
        <v>38</v>
      </c>
      <c r="C348" s="8" t="s">
        <v>39</v>
      </c>
      <c r="D348" s="7">
        <v>45701</v>
      </c>
      <c r="E348" s="7">
        <v>45701</v>
      </c>
      <c r="F348" s="8">
        <v>0</v>
      </c>
      <c r="G348" s="8" t="s">
        <v>18</v>
      </c>
      <c r="H348" s="8" t="s">
        <v>49</v>
      </c>
      <c r="I348" s="8" t="s">
        <v>546</v>
      </c>
      <c r="J348" s="8" t="s">
        <v>30</v>
      </c>
      <c r="K348" s="8" t="s">
        <v>21</v>
      </c>
      <c r="L348" s="8" t="s">
        <v>44</v>
      </c>
      <c r="M348" s="8" t="s">
        <v>32</v>
      </c>
      <c r="N348" s="8">
        <v>91</v>
      </c>
      <c r="O348" s="8" t="s">
        <v>24</v>
      </c>
      <c r="P348" s="8" t="str">
        <f t="shared" si="10"/>
        <v>Valid</v>
      </c>
      <c r="Q348" s="8" t="str">
        <f t="shared" si="11"/>
        <v>Valid</v>
      </c>
    </row>
    <row r="349" spans="1:17" ht="13.8">
      <c r="A349" s="8" t="s">
        <v>393</v>
      </c>
      <c r="B349" s="8" t="s">
        <v>38</v>
      </c>
      <c r="C349" s="8" t="s">
        <v>17</v>
      </c>
      <c r="D349" s="7">
        <v>45841</v>
      </c>
      <c r="E349" s="7">
        <v>45846</v>
      </c>
      <c r="F349" s="8">
        <v>2183</v>
      </c>
      <c r="G349" s="8" t="s">
        <v>48</v>
      </c>
      <c r="H349" s="8" t="s">
        <v>49</v>
      </c>
      <c r="I349" s="7">
        <v>45748</v>
      </c>
      <c r="J349" s="8" t="s">
        <v>20</v>
      </c>
      <c r="K349" s="8" t="s">
        <v>43</v>
      </c>
      <c r="L349" s="8" t="s">
        <v>22</v>
      </c>
      <c r="M349" s="8" t="s">
        <v>23</v>
      </c>
      <c r="N349" s="8">
        <v>44</v>
      </c>
      <c r="O349" s="8" t="s">
        <v>24</v>
      </c>
      <c r="P349" s="8" t="str">
        <f t="shared" si="10"/>
        <v>Valid</v>
      </c>
      <c r="Q349" s="8" t="str">
        <f t="shared" si="11"/>
        <v>Not valid</v>
      </c>
    </row>
    <row r="350" spans="1:17" ht="13.8">
      <c r="A350" s="8" t="s">
        <v>394</v>
      </c>
      <c r="B350" s="8" t="s">
        <v>38</v>
      </c>
      <c r="C350" s="8" t="s">
        <v>39</v>
      </c>
      <c r="D350" s="7">
        <v>45680</v>
      </c>
      <c r="E350" s="7">
        <v>45680</v>
      </c>
      <c r="F350" s="8">
        <v>0</v>
      </c>
      <c r="G350" s="8" t="s">
        <v>28</v>
      </c>
      <c r="H350" s="8" t="s">
        <v>19</v>
      </c>
      <c r="I350" s="8" t="s">
        <v>546</v>
      </c>
      <c r="J350" s="8" t="s">
        <v>30</v>
      </c>
      <c r="K350" s="8" t="s">
        <v>43</v>
      </c>
      <c r="L350" s="8" t="s">
        <v>27</v>
      </c>
      <c r="M350" s="8" t="s">
        <v>36</v>
      </c>
      <c r="N350" s="8">
        <v>38</v>
      </c>
      <c r="O350" s="8" t="s">
        <v>52</v>
      </c>
      <c r="P350" s="8" t="str">
        <f t="shared" si="10"/>
        <v>Valid</v>
      </c>
      <c r="Q350" s="8" t="str">
        <f t="shared" si="11"/>
        <v>Valid</v>
      </c>
    </row>
    <row r="351" spans="1:17" ht="13.8">
      <c r="A351" s="8" t="s">
        <v>395</v>
      </c>
      <c r="B351" s="8" t="s">
        <v>38</v>
      </c>
      <c r="C351" s="8" t="s">
        <v>39</v>
      </c>
      <c r="D351" s="7">
        <v>45760</v>
      </c>
      <c r="E351" s="7">
        <v>45760</v>
      </c>
      <c r="F351" s="8">
        <v>0</v>
      </c>
      <c r="G351" s="8" t="s">
        <v>18</v>
      </c>
      <c r="H351" s="8" t="s">
        <v>29</v>
      </c>
      <c r="I351" s="8" t="s">
        <v>546</v>
      </c>
      <c r="J351" s="8" t="s">
        <v>30</v>
      </c>
      <c r="K351" s="8" t="s">
        <v>40</v>
      </c>
      <c r="L351" s="8" t="s">
        <v>44</v>
      </c>
      <c r="M351" s="8" t="s">
        <v>32</v>
      </c>
      <c r="N351" s="8">
        <v>50</v>
      </c>
      <c r="O351" s="8" t="s">
        <v>24</v>
      </c>
      <c r="P351" s="8" t="str">
        <f t="shared" si="10"/>
        <v>Valid</v>
      </c>
      <c r="Q351" s="8" t="str">
        <f t="shared" si="11"/>
        <v>Valid</v>
      </c>
    </row>
    <row r="352" spans="1:17" ht="13.8">
      <c r="A352" s="8" t="s">
        <v>396</v>
      </c>
      <c r="B352" s="8" t="s">
        <v>38</v>
      </c>
      <c r="C352" s="8" t="s">
        <v>39</v>
      </c>
      <c r="D352" s="7">
        <v>45855</v>
      </c>
      <c r="E352" s="7">
        <v>45855</v>
      </c>
      <c r="F352" s="8">
        <v>0</v>
      </c>
      <c r="G352" s="8" t="s">
        <v>18</v>
      </c>
      <c r="H352" s="8" t="s">
        <v>29</v>
      </c>
      <c r="I352" s="8" t="s">
        <v>546</v>
      </c>
      <c r="J352" s="8" t="s">
        <v>20</v>
      </c>
      <c r="K352" s="8" t="s">
        <v>40</v>
      </c>
      <c r="L352" s="8" t="s">
        <v>44</v>
      </c>
      <c r="M352" s="8" t="s">
        <v>36</v>
      </c>
      <c r="N352" s="8">
        <v>58</v>
      </c>
      <c r="O352" s="8" t="s">
        <v>46</v>
      </c>
      <c r="P352" s="8" t="str">
        <f t="shared" si="10"/>
        <v>Valid</v>
      </c>
      <c r="Q352" s="8" t="str">
        <f t="shared" si="11"/>
        <v>Valid</v>
      </c>
    </row>
    <row r="353" spans="1:17" ht="13.8">
      <c r="A353" s="8" t="s">
        <v>397</v>
      </c>
      <c r="B353" s="8" t="s">
        <v>16</v>
      </c>
      <c r="C353" s="8" t="s">
        <v>17</v>
      </c>
      <c r="D353" s="7">
        <v>45708</v>
      </c>
      <c r="E353" s="7">
        <v>45703</v>
      </c>
      <c r="F353" s="8">
        <v>2480</v>
      </c>
      <c r="G353" s="8" t="s">
        <v>18</v>
      </c>
      <c r="H353" s="8" t="s">
        <v>35</v>
      </c>
      <c r="I353" s="7">
        <v>45831</v>
      </c>
      <c r="J353" s="8" t="s">
        <v>20</v>
      </c>
      <c r="K353" s="8" t="s">
        <v>31</v>
      </c>
      <c r="L353" s="8" t="s">
        <v>548</v>
      </c>
      <c r="M353" s="8" t="s">
        <v>32</v>
      </c>
      <c r="N353" s="8">
        <v>39</v>
      </c>
      <c r="O353" s="8" t="s">
        <v>46</v>
      </c>
      <c r="P353" s="8" t="str">
        <f t="shared" si="10"/>
        <v>not valid</v>
      </c>
      <c r="Q353" s="8" t="str">
        <f t="shared" si="11"/>
        <v>Valid</v>
      </c>
    </row>
    <row r="354" spans="1:17" ht="13.8">
      <c r="A354" s="8" t="s">
        <v>398</v>
      </c>
      <c r="B354" s="8" t="s">
        <v>16</v>
      </c>
      <c r="C354" s="8" t="s">
        <v>39</v>
      </c>
      <c r="D354" s="7">
        <v>45747</v>
      </c>
      <c r="E354" s="7">
        <v>45747</v>
      </c>
      <c r="F354" s="8">
        <v>0</v>
      </c>
      <c r="G354" s="8" t="s">
        <v>48</v>
      </c>
      <c r="H354" s="8" t="s">
        <v>29</v>
      </c>
      <c r="I354" s="8" t="s">
        <v>546</v>
      </c>
      <c r="J354" s="8" t="s">
        <v>30</v>
      </c>
      <c r="K354" s="8" t="s">
        <v>43</v>
      </c>
      <c r="L354" s="8" t="s">
        <v>44</v>
      </c>
      <c r="M354" s="8" t="s">
        <v>23</v>
      </c>
      <c r="N354" s="8">
        <v>77</v>
      </c>
      <c r="O354" s="8" t="s">
        <v>46</v>
      </c>
      <c r="P354" s="8" t="str">
        <f t="shared" si="10"/>
        <v>Valid</v>
      </c>
      <c r="Q354" s="8" t="str">
        <f t="shared" si="11"/>
        <v>Valid</v>
      </c>
    </row>
    <row r="355" spans="1:17" ht="13.8">
      <c r="A355" s="8" t="s">
        <v>399</v>
      </c>
      <c r="B355" s="8" t="s">
        <v>26</v>
      </c>
      <c r="C355" s="8" t="s">
        <v>27</v>
      </c>
      <c r="D355" s="7">
        <v>45919</v>
      </c>
      <c r="E355" s="7">
        <v>45926</v>
      </c>
      <c r="F355" s="8">
        <v>0</v>
      </c>
      <c r="G355" s="8" t="s">
        <v>28</v>
      </c>
      <c r="H355" s="8" t="s">
        <v>29</v>
      </c>
      <c r="I355" s="8" t="s">
        <v>546</v>
      </c>
      <c r="J355" s="8" t="s">
        <v>20</v>
      </c>
      <c r="K355" s="8" t="s">
        <v>21</v>
      </c>
      <c r="L355" s="8" t="s">
        <v>27</v>
      </c>
      <c r="M355" s="8" t="s">
        <v>36</v>
      </c>
      <c r="N355" s="8">
        <v>64</v>
      </c>
      <c r="O355" s="8" t="s">
        <v>46</v>
      </c>
      <c r="P355" s="8" t="str">
        <f t="shared" si="10"/>
        <v>Valid</v>
      </c>
      <c r="Q355" s="8" t="str">
        <f t="shared" si="11"/>
        <v>Valid</v>
      </c>
    </row>
    <row r="356" spans="1:17" ht="13.8">
      <c r="A356" s="8" t="s">
        <v>400</v>
      </c>
      <c r="B356" s="8" t="s">
        <v>51</v>
      </c>
      <c r="C356" s="8" t="s">
        <v>17</v>
      </c>
      <c r="D356" s="7">
        <v>45730</v>
      </c>
      <c r="E356" s="7">
        <v>45663</v>
      </c>
      <c r="F356" s="8">
        <v>2615</v>
      </c>
      <c r="G356" s="8" t="s">
        <v>18</v>
      </c>
      <c r="H356" s="8" t="s">
        <v>35</v>
      </c>
      <c r="I356" s="7">
        <v>45677</v>
      </c>
      <c r="J356" s="8" t="s">
        <v>30</v>
      </c>
      <c r="K356" s="8" t="s">
        <v>21</v>
      </c>
      <c r="L356" s="8" t="s">
        <v>548</v>
      </c>
      <c r="M356" s="8" t="s">
        <v>32</v>
      </c>
      <c r="N356" s="8">
        <v>66</v>
      </c>
      <c r="O356" s="8" t="s">
        <v>24</v>
      </c>
      <c r="P356" s="8" t="str">
        <f t="shared" si="10"/>
        <v>not valid</v>
      </c>
      <c r="Q356" s="8" t="str">
        <f t="shared" si="11"/>
        <v>Not valid</v>
      </c>
    </row>
    <row r="357" spans="1:17" ht="13.8">
      <c r="A357" s="8" t="s">
        <v>401</v>
      </c>
      <c r="B357" s="8" t="s">
        <v>16</v>
      </c>
      <c r="C357" s="8" t="s">
        <v>27</v>
      </c>
      <c r="D357" s="7">
        <v>45772</v>
      </c>
      <c r="E357" s="7">
        <v>45749</v>
      </c>
      <c r="F357" s="8">
        <v>0</v>
      </c>
      <c r="G357" s="8" t="s">
        <v>28</v>
      </c>
      <c r="H357" s="8" t="s">
        <v>35</v>
      </c>
      <c r="I357" s="8" t="s">
        <v>546</v>
      </c>
      <c r="J357" s="8" t="s">
        <v>30</v>
      </c>
      <c r="K357" s="8" t="s">
        <v>31</v>
      </c>
      <c r="L357" s="8" t="s">
        <v>41</v>
      </c>
      <c r="M357" s="8" t="s">
        <v>36</v>
      </c>
      <c r="N357" s="8">
        <v>50</v>
      </c>
      <c r="O357" s="8" t="s">
        <v>24</v>
      </c>
      <c r="P357" s="8" t="str">
        <f t="shared" si="10"/>
        <v>not valid</v>
      </c>
      <c r="Q357" s="8" t="str">
        <f t="shared" si="11"/>
        <v>Valid</v>
      </c>
    </row>
    <row r="358" spans="1:17" ht="13.8">
      <c r="A358" s="8" t="s">
        <v>402</v>
      </c>
      <c r="B358" s="8" t="s">
        <v>16</v>
      </c>
      <c r="C358" s="8" t="s">
        <v>27</v>
      </c>
      <c r="D358" s="7">
        <v>45934</v>
      </c>
      <c r="E358" s="7">
        <v>45759</v>
      </c>
      <c r="F358" s="8">
        <v>0</v>
      </c>
      <c r="G358" s="8" t="s">
        <v>18</v>
      </c>
      <c r="H358" s="8" t="s">
        <v>19</v>
      </c>
      <c r="I358" s="8" t="s">
        <v>546</v>
      </c>
      <c r="J358" s="8" t="s">
        <v>30</v>
      </c>
      <c r="K358" s="8" t="s">
        <v>43</v>
      </c>
      <c r="L358" s="8" t="s">
        <v>22</v>
      </c>
      <c r="M358" s="8" t="s">
        <v>45</v>
      </c>
      <c r="N358" s="8">
        <v>32</v>
      </c>
      <c r="O358" s="8" t="s">
        <v>46</v>
      </c>
      <c r="P358" s="8" t="str">
        <f t="shared" si="10"/>
        <v>not valid</v>
      </c>
      <c r="Q358" s="8" t="str">
        <f t="shared" si="11"/>
        <v>Valid</v>
      </c>
    </row>
    <row r="359" spans="1:17" ht="13.8">
      <c r="A359" s="8" t="s">
        <v>403</v>
      </c>
      <c r="B359" s="8" t="s">
        <v>51</v>
      </c>
      <c r="C359" s="8" t="s">
        <v>17</v>
      </c>
      <c r="D359" s="7">
        <v>45724</v>
      </c>
      <c r="E359" s="7">
        <v>45801</v>
      </c>
      <c r="F359" s="8">
        <v>4548</v>
      </c>
      <c r="G359" s="8" t="s">
        <v>28</v>
      </c>
      <c r="H359" s="8" t="s">
        <v>29</v>
      </c>
      <c r="I359" s="7">
        <v>45721</v>
      </c>
      <c r="J359" s="8" t="s">
        <v>30</v>
      </c>
      <c r="K359" s="8" t="s">
        <v>21</v>
      </c>
      <c r="L359" s="8" t="s">
        <v>547</v>
      </c>
      <c r="M359" s="8" t="s">
        <v>32</v>
      </c>
      <c r="N359" s="8">
        <v>63</v>
      </c>
      <c r="O359" s="8" t="s">
        <v>24</v>
      </c>
      <c r="P359" s="8" t="str">
        <f t="shared" si="10"/>
        <v>Valid</v>
      </c>
      <c r="Q359" s="8" t="str">
        <f t="shared" si="11"/>
        <v>Not valid</v>
      </c>
    </row>
    <row r="360" spans="1:17" ht="13.8">
      <c r="A360" s="8" t="s">
        <v>404</v>
      </c>
      <c r="B360" s="8" t="s">
        <v>51</v>
      </c>
      <c r="C360" s="8" t="s">
        <v>17</v>
      </c>
      <c r="D360" s="7">
        <v>45772</v>
      </c>
      <c r="E360" s="7">
        <v>45709</v>
      </c>
      <c r="F360" s="8">
        <v>4591</v>
      </c>
      <c r="G360" s="8" t="s">
        <v>18</v>
      </c>
      <c r="H360" s="8" t="s">
        <v>49</v>
      </c>
      <c r="I360" s="7">
        <v>45697</v>
      </c>
      <c r="J360" s="8" t="s">
        <v>30</v>
      </c>
      <c r="K360" s="8" t="s">
        <v>43</v>
      </c>
      <c r="L360" s="8" t="s">
        <v>27</v>
      </c>
      <c r="M360" s="8" t="s">
        <v>36</v>
      </c>
      <c r="N360" s="8">
        <v>56</v>
      </c>
      <c r="O360" s="8" t="s">
        <v>46</v>
      </c>
      <c r="P360" s="8" t="str">
        <f t="shared" si="10"/>
        <v>not valid</v>
      </c>
      <c r="Q360" s="8" t="str">
        <f t="shared" si="11"/>
        <v>Not valid</v>
      </c>
    </row>
    <row r="361" spans="1:17" ht="13.8">
      <c r="A361" s="8" t="s">
        <v>405</v>
      </c>
      <c r="B361" s="8" t="s">
        <v>38</v>
      </c>
      <c r="C361" s="8" t="s">
        <v>17</v>
      </c>
      <c r="D361" s="7">
        <v>45873</v>
      </c>
      <c r="E361" s="7">
        <v>45902</v>
      </c>
      <c r="F361" s="8">
        <v>4208</v>
      </c>
      <c r="G361" s="8" t="s">
        <v>48</v>
      </c>
      <c r="H361" s="8" t="s">
        <v>19</v>
      </c>
      <c r="I361" s="7">
        <v>45676</v>
      </c>
      <c r="J361" s="8" t="s">
        <v>30</v>
      </c>
      <c r="K361" s="8" t="s">
        <v>31</v>
      </c>
      <c r="L361" s="8" t="s">
        <v>27</v>
      </c>
      <c r="M361" s="8" t="s">
        <v>32</v>
      </c>
      <c r="N361" s="8">
        <v>94</v>
      </c>
      <c r="O361" s="8" t="s">
        <v>24</v>
      </c>
      <c r="P361" s="8" t="str">
        <f t="shared" si="10"/>
        <v>Valid</v>
      </c>
      <c r="Q361" s="8" t="str">
        <f t="shared" si="11"/>
        <v>Not valid</v>
      </c>
    </row>
    <row r="362" spans="1:17" ht="13.8">
      <c r="A362" s="8" t="s">
        <v>406</v>
      </c>
      <c r="B362" s="8" t="s">
        <v>16</v>
      </c>
      <c r="C362" s="8" t="s">
        <v>17</v>
      </c>
      <c r="D362" s="7">
        <v>45822</v>
      </c>
      <c r="E362" s="9">
        <v>45941</v>
      </c>
      <c r="F362" s="8">
        <v>3115</v>
      </c>
      <c r="G362" s="8" t="s">
        <v>18</v>
      </c>
      <c r="H362" s="8" t="s">
        <v>19</v>
      </c>
      <c r="I362" s="7">
        <v>45798</v>
      </c>
      <c r="J362" s="8" t="s">
        <v>20</v>
      </c>
      <c r="K362" s="8" t="s">
        <v>31</v>
      </c>
      <c r="L362" s="8" t="s">
        <v>27</v>
      </c>
      <c r="M362" s="8" t="s">
        <v>36</v>
      </c>
      <c r="N362" s="8">
        <v>57</v>
      </c>
      <c r="O362" s="8" t="s">
        <v>46</v>
      </c>
      <c r="P362" s="8" t="str">
        <f t="shared" si="10"/>
        <v>Valid</v>
      </c>
      <c r="Q362" s="8" t="str">
        <f t="shared" si="11"/>
        <v>Not valid</v>
      </c>
    </row>
    <row r="363" spans="1:17" ht="13.8">
      <c r="A363" s="8" t="s">
        <v>407</v>
      </c>
      <c r="B363" s="8" t="s">
        <v>38</v>
      </c>
      <c r="C363" s="8" t="s">
        <v>39</v>
      </c>
      <c r="D363" s="7">
        <v>45844</v>
      </c>
      <c r="E363" s="7">
        <v>45844</v>
      </c>
      <c r="F363" s="8">
        <v>0</v>
      </c>
      <c r="G363" s="8" t="s">
        <v>34</v>
      </c>
      <c r="H363" s="8" t="s">
        <v>49</v>
      </c>
      <c r="I363" s="8" t="s">
        <v>546</v>
      </c>
      <c r="J363" s="8" t="s">
        <v>20</v>
      </c>
      <c r="K363" s="8" t="s">
        <v>21</v>
      </c>
      <c r="L363" s="8" t="s">
        <v>44</v>
      </c>
      <c r="M363" s="8" t="s">
        <v>45</v>
      </c>
      <c r="N363" s="8">
        <v>47</v>
      </c>
      <c r="O363" s="8" t="s">
        <v>24</v>
      </c>
      <c r="P363" s="8" t="str">
        <f t="shared" si="10"/>
        <v>Valid</v>
      </c>
      <c r="Q363" s="8" t="str">
        <f t="shared" si="11"/>
        <v>Valid</v>
      </c>
    </row>
    <row r="364" spans="1:17" ht="13.8">
      <c r="A364" s="8" t="s">
        <v>408</v>
      </c>
      <c r="B364" s="8" t="s">
        <v>26</v>
      </c>
      <c r="C364" s="8" t="s">
        <v>17</v>
      </c>
      <c r="D364" s="7">
        <v>45861</v>
      </c>
      <c r="E364" s="7">
        <v>45702</v>
      </c>
      <c r="F364" s="8">
        <v>4363</v>
      </c>
      <c r="G364" s="8" t="s">
        <v>28</v>
      </c>
      <c r="H364" s="8" t="s">
        <v>35</v>
      </c>
      <c r="I364" s="7">
        <v>45791</v>
      </c>
      <c r="J364" s="8" t="s">
        <v>30</v>
      </c>
      <c r="K364" s="8" t="s">
        <v>40</v>
      </c>
      <c r="L364" s="8" t="s">
        <v>547</v>
      </c>
      <c r="M364" s="8" t="s">
        <v>45</v>
      </c>
      <c r="N364" s="8">
        <v>40</v>
      </c>
      <c r="O364" s="8" t="s">
        <v>24</v>
      </c>
      <c r="P364" s="8" t="str">
        <f t="shared" si="10"/>
        <v>not valid</v>
      </c>
      <c r="Q364" s="8" t="str">
        <f t="shared" si="11"/>
        <v>Not valid</v>
      </c>
    </row>
    <row r="365" spans="1:17" ht="13.8">
      <c r="A365" s="8" t="s">
        <v>409</v>
      </c>
      <c r="B365" s="8" t="s">
        <v>51</v>
      </c>
      <c r="C365" s="8" t="s">
        <v>27</v>
      </c>
      <c r="D365" s="7">
        <v>45779</v>
      </c>
      <c r="E365" s="7">
        <v>45827</v>
      </c>
      <c r="F365" s="8">
        <v>0</v>
      </c>
      <c r="G365" s="8" t="s">
        <v>28</v>
      </c>
      <c r="H365" s="8" t="s">
        <v>29</v>
      </c>
      <c r="I365" s="8" t="s">
        <v>546</v>
      </c>
      <c r="J365" s="8" t="s">
        <v>20</v>
      </c>
      <c r="K365" s="8" t="s">
        <v>43</v>
      </c>
      <c r="L365" s="8" t="s">
        <v>22</v>
      </c>
      <c r="M365" s="8" t="s">
        <v>23</v>
      </c>
      <c r="N365" s="8">
        <v>74</v>
      </c>
      <c r="O365" s="8" t="s">
        <v>24</v>
      </c>
      <c r="P365" s="8" t="str">
        <f t="shared" si="10"/>
        <v>Valid</v>
      </c>
      <c r="Q365" s="8" t="str">
        <f t="shared" si="11"/>
        <v>Valid</v>
      </c>
    </row>
    <row r="366" spans="1:17" ht="13.8">
      <c r="A366" s="8" t="s">
        <v>410</v>
      </c>
      <c r="B366" s="8" t="s">
        <v>26</v>
      </c>
      <c r="C366" s="8" t="s">
        <v>39</v>
      </c>
      <c r="D366" s="7">
        <v>45818</v>
      </c>
      <c r="E366" s="7">
        <v>45818</v>
      </c>
      <c r="F366" s="8">
        <v>0</v>
      </c>
      <c r="G366" s="8" t="s">
        <v>28</v>
      </c>
      <c r="H366" s="8" t="s">
        <v>19</v>
      </c>
      <c r="I366" s="8" t="s">
        <v>546</v>
      </c>
      <c r="J366" s="8" t="s">
        <v>30</v>
      </c>
      <c r="K366" s="8" t="s">
        <v>43</v>
      </c>
      <c r="L366" s="8" t="s">
        <v>22</v>
      </c>
      <c r="M366" s="8" t="s">
        <v>45</v>
      </c>
      <c r="N366" s="8">
        <v>61</v>
      </c>
      <c r="O366" s="8" t="s">
        <v>24</v>
      </c>
      <c r="P366" s="8" t="str">
        <f t="shared" si="10"/>
        <v>Valid</v>
      </c>
      <c r="Q366" s="8" t="str">
        <f t="shared" si="11"/>
        <v>Valid</v>
      </c>
    </row>
    <row r="367" spans="1:17" ht="13.8">
      <c r="A367" s="8" t="s">
        <v>411</v>
      </c>
      <c r="B367" s="8" t="s">
        <v>16</v>
      </c>
      <c r="C367" s="8" t="s">
        <v>17</v>
      </c>
      <c r="D367" s="7">
        <v>45849</v>
      </c>
      <c r="E367" s="7">
        <v>45780</v>
      </c>
      <c r="F367" s="8">
        <v>4505</v>
      </c>
      <c r="G367" s="8" t="s">
        <v>34</v>
      </c>
      <c r="H367" s="8" t="s">
        <v>35</v>
      </c>
      <c r="I367" s="7">
        <v>45739</v>
      </c>
      <c r="J367" s="8" t="s">
        <v>30</v>
      </c>
      <c r="K367" s="8" t="s">
        <v>40</v>
      </c>
      <c r="L367" s="8" t="s">
        <v>547</v>
      </c>
      <c r="M367" s="8" t="s">
        <v>23</v>
      </c>
      <c r="N367" s="8">
        <v>47</v>
      </c>
      <c r="O367" s="8" t="s">
        <v>46</v>
      </c>
      <c r="P367" s="8" t="str">
        <f t="shared" si="10"/>
        <v>not valid</v>
      </c>
      <c r="Q367" s="8" t="str">
        <f t="shared" si="11"/>
        <v>Not valid</v>
      </c>
    </row>
    <row r="368" spans="1:17" ht="13.8">
      <c r="A368" s="8" t="s">
        <v>412</v>
      </c>
      <c r="B368" s="8" t="s">
        <v>26</v>
      </c>
      <c r="C368" s="8" t="s">
        <v>39</v>
      </c>
      <c r="D368" s="7">
        <v>45671</v>
      </c>
      <c r="E368" s="7">
        <v>45671</v>
      </c>
      <c r="F368" s="8">
        <v>0</v>
      </c>
      <c r="G368" s="8" t="s">
        <v>18</v>
      </c>
      <c r="H368" s="8" t="s">
        <v>49</v>
      </c>
      <c r="I368" s="8" t="s">
        <v>546</v>
      </c>
      <c r="J368" s="8" t="s">
        <v>20</v>
      </c>
      <c r="K368" s="8" t="s">
        <v>31</v>
      </c>
      <c r="L368" s="8" t="s">
        <v>41</v>
      </c>
      <c r="M368" s="8" t="s">
        <v>23</v>
      </c>
      <c r="N368" s="8">
        <v>32</v>
      </c>
      <c r="O368" s="8" t="s">
        <v>46</v>
      </c>
      <c r="P368" s="8" t="str">
        <f t="shared" si="10"/>
        <v>Valid</v>
      </c>
      <c r="Q368" s="8" t="str">
        <f t="shared" si="11"/>
        <v>Valid</v>
      </c>
    </row>
    <row r="369" spans="1:17" ht="13.8">
      <c r="A369" s="8" t="s">
        <v>413</v>
      </c>
      <c r="B369" s="8" t="s">
        <v>16</v>
      </c>
      <c r="C369" s="8" t="s">
        <v>39</v>
      </c>
      <c r="D369" s="7">
        <v>45892</v>
      </c>
      <c r="E369" s="7">
        <v>45892</v>
      </c>
      <c r="F369" s="8">
        <v>0</v>
      </c>
      <c r="G369" s="8" t="s">
        <v>48</v>
      </c>
      <c r="H369" s="8" t="s">
        <v>19</v>
      </c>
      <c r="I369" s="8" t="s">
        <v>546</v>
      </c>
      <c r="J369" s="8" t="s">
        <v>20</v>
      </c>
      <c r="K369" s="8" t="s">
        <v>31</v>
      </c>
      <c r="L369" s="8" t="s">
        <v>44</v>
      </c>
      <c r="M369" s="8" t="s">
        <v>36</v>
      </c>
      <c r="N369" s="8">
        <v>88</v>
      </c>
      <c r="O369" s="8" t="s">
        <v>46</v>
      </c>
      <c r="P369" s="8" t="str">
        <f t="shared" si="10"/>
        <v>Valid</v>
      </c>
      <c r="Q369" s="8" t="str">
        <f t="shared" si="11"/>
        <v>Valid</v>
      </c>
    </row>
    <row r="370" spans="1:17" ht="13.8">
      <c r="A370" s="8" t="s">
        <v>414</v>
      </c>
      <c r="B370" s="8" t="s">
        <v>16</v>
      </c>
      <c r="C370" s="8" t="s">
        <v>39</v>
      </c>
      <c r="D370" s="7">
        <v>45855</v>
      </c>
      <c r="E370" s="7">
        <v>45855</v>
      </c>
      <c r="F370" s="8">
        <v>0</v>
      </c>
      <c r="G370" s="8" t="s">
        <v>18</v>
      </c>
      <c r="H370" s="8" t="s">
        <v>19</v>
      </c>
      <c r="I370" s="8" t="s">
        <v>546</v>
      </c>
      <c r="J370" s="8" t="s">
        <v>20</v>
      </c>
      <c r="K370" s="8" t="s">
        <v>21</v>
      </c>
      <c r="L370" s="8" t="s">
        <v>41</v>
      </c>
      <c r="M370" s="8" t="s">
        <v>32</v>
      </c>
      <c r="N370" s="8">
        <v>74</v>
      </c>
      <c r="O370" s="8" t="s">
        <v>24</v>
      </c>
      <c r="P370" s="8" t="str">
        <f t="shared" si="10"/>
        <v>Valid</v>
      </c>
      <c r="Q370" s="8" t="str">
        <f t="shared" si="11"/>
        <v>Valid</v>
      </c>
    </row>
    <row r="371" spans="1:17" ht="13.8">
      <c r="A371" s="8" t="s">
        <v>415</v>
      </c>
      <c r="B371" s="8" t="s">
        <v>51</v>
      </c>
      <c r="C371" s="8" t="s">
        <v>17</v>
      </c>
      <c r="D371" s="7">
        <v>45733</v>
      </c>
      <c r="E371" s="7">
        <v>45835</v>
      </c>
      <c r="F371" s="8">
        <v>3319</v>
      </c>
      <c r="G371" s="8" t="s">
        <v>18</v>
      </c>
      <c r="H371" s="8" t="s">
        <v>29</v>
      </c>
      <c r="I371" s="7">
        <v>45923</v>
      </c>
      <c r="J371" s="8" t="s">
        <v>20</v>
      </c>
      <c r="K371" s="8" t="s">
        <v>31</v>
      </c>
      <c r="L371" s="8" t="s">
        <v>22</v>
      </c>
      <c r="M371" s="8" t="s">
        <v>36</v>
      </c>
      <c r="N371" s="8">
        <v>80</v>
      </c>
      <c r="O371" s="8" t="s">
        <v>46</v>
      </c>
      <c r="P371" s="8" t="str">
        <f t="shared" si="10"/>
        <v>Valid</v>
      </c>
      <c r="Q371" s="8" t="str">
        <f t="shared" si="11"/>
        <v>Valid</v>
      </c>
    </row>
    <row r="372" spans="1:17" ht="13.8">
      <c r="A372" s="8" t="s">
        <v>416</v>
      </c>
      <c r="B372" s="8" t="s">
        <v>16</v>
      </c>
      <c r="C372" s="8" t="s">
        <v>39</v>
      </c>
      <c r="D372" s="7">
        <v>45918</v>
      </c>
      <c r="E372" s="7">
        <v>45918</v>
      </c>
      <c r="F372" s="8">
        <v>0</v>
      </c>
      <c r="G372" s="8" t="s">
        <v>34</v>
      </c>
      <c r="H372" s="8" t="s">
        <v>49</v>
      </c>
      <c r="I372" s="8" t="s">
        <v>546</v>
      </c>
      <c r="J372" s="8" t="s">
        <v>20</v>
      </c>
      <c r="K372" s="8" t="s">
        <v>40</v>
      </c>
      <c r="L372" s="8" t="s">
        <v>41</v>
      </c>
      <c r="M372" s="8" t="s">
        <v>45</v>
      </c>
      <c r="N372" s="8">
        <v>78</v>
      </c>
      <c r="O372" s="8" t="s">
        <v>24</v>
      </c>
      <c r="P372" s="8" t="str">
        <f t="shared" si="10"/>
        <v>Valid</v>
      </c>
      <c r="Q372" s="8" t="str">
        <f t="shared" si="11"/>
        <v>Valid</v>
      </c>
    </row>
    <row r="373" spans="1:17" ht="13.8">
      <c r="A373" s="8" t="s">
        <v>417</v>
      </c>
      <c r="B373" s="8" t="s">
        <v>51</v>
      </c>
      <c r="C373" s="8" t="s">
        <v>17</v>
      </c>
      <c r="D373" s="7">
        <v>45760</v>
      </c>
      <c r="E373" s="7">
        <v>45715</v>
      </c>
      <c r="F373" s="8">
        <v>3061</v>
      </c>
      <c r="G373" s="8" t="s">
        <v>18</v>
      </c>
      <c r="H373" s="8" t="s">
        <v>19</v>
      </c>
      <c r="I373" s="7">
        <v>45800</v>
      </c>
      <c r="J373" s="8" t="s">
        <v>20</v>
      </c>
      <c r="K373" s="8" t="s">
        <v>40</v>
      </c>
      <c r="L373" s="8" t="s">
        <v>547</v>
      </c>
      <c r="M373" s="8" t="s">
        <v>36</v>
      </c>
      <c r="N373" s="8">
        <v>81</v>
      </c>
      <c r="O373" s="8" t="s">
        <v>46</v>
      </c>
      <c r="P373" s="8" t="str">
        <f t="shared" si="10"/>
        <v>not valid</v>
      </c>
      <c r="Q373" s="8" t="str">
        <f t="shared" si="11"/>
        <v>Valid</v>
      </c>
    </row>
    <row r="374" spans="1:17" ht="13.8">
      <c r="A374" s="8" t="s">
        <v>418</v>
      </c>
      <c r="B374" s="8" t="s">
        <v>51</v>
      </c>
      <c r="C374" s="8" t="s">
        <v>17</v>
      </c>
      <c r="D374" s="7">
        <v>45881</v>
      </c>
      <c r="E374" s="7">
        <v>45728</v>
      </c>
      <c r="F374" s="8">
        <v>2225</v>
      </c>
      <c r="G374" s="8" t="s">
        <v>34</v>
      </c>
      <c r="H374" s="8" t="s">
        <v>49</v>
      </c>
      <c r="I374" s="7">
        <v>45828</v>
      </c>
      <c r="J374" s="8" t="s">
        <v>20</v>
      </c>
      <c r="K374" s="8" t="s">
        <v>40</v>
      </c>
      <c r="L374" s="8" t="s">
        <v>27</v>
      </c>
      <c r="M374" s="8" t="s">
        <v>32</v>
      </c>
      <c r="N374" s="8">
        <v>47</v>
      </c>
      <c r="O374" s="8" t="s">
        <v>46</v>
      </c>
      <c r="P374" s="8" t="str">
        <f t="shared" si="10"/>
        <v>not valid</v>
      </c>
      <c r="Q374" s="8" t="str">
        <f t="shared" si="11"/>
        <v>Not valid</v>
      </c>
    </row>
    <row r="375" spans="1:17" ht="13.8">
      <c r="A375" s="8" t="s">
        <v>419</v>
      </c>
      <c r="B375" s="8" t="s">
        <v>16</v>
      </c>
      <c r="C375" s="8" t="s">
        <v>39</v>
      </c>
      <c r="D375" s="7">
        <v>45928</v>
      </c>
      <c r="E375" s="7">
        <v>45928</v>
      </c>
      <c r="F375" s="8">
        <v>0</v>
      </c>
      <c r="G375" s="8" t="s">
        <v>18</v>
      </c>
      <c r="H375" s="8" t="s">
        <v>19</v>
      </c>
      <c r="I375" s="8" t="s">
        <v>546</v>
      </c>
      <c r="J375" s="8" t="s">
        <v>30</v>
      </c>
      <c r="K375" s="8" t="s">
        <v>43</v>
      </c>
      <c r="L375" s="8" t="s">
        <v>44</v>
      </c>
      <c r="M375" s="8" t="s">
        <v>32</v>
      </c>
      <c r="N375" s="8">
        <v>58</v>
      </c>
      <c r="O375" s="8" t="s">
        <v>52</v>
      </c>
      <c r="P375" s="8" t="str">
        <f t="shared" si="10"/>
        <v>Valid</v>
      </c>
      <c r="Q375" s="8" t="str">
        <f t="shared" si="11"/>
        <v>Valid</v>
      </c>
    </row>
    <row r="376" spans="1:17" ht="13.8">
      <c r="A376" s="8" t="s">
        <v>420</v>
      </c>
      <c r="B376" s="8" t="s">
        <v>16</v>
      </c>
      <c r="C376" s="8" t="s">
        <v>27</v>
      </c>
      <c r="D376" s="7">
        <v>45921</v>
      </c>
      <c r="E376" s="7">
        <v>45733</v>
      </c>
      <c r="F376" s="8">
        <v>0</v>
      </c>
      <c r="G376" s="8" t="s">
        <v>48</v>
      </c>
      <c r="H376" s="8" t="s">
        <v>19</v>
      </c>
      <c r="I376" s="8" t="s">
        <v>546</v>
      </c>
      <c r="J376" s="8" t="s">
        <v>20</v>
      </c>
      <c r="K376" s="8" t="s">
        <v>40</v>
      </c>
      <c r="L376" s="8" t="s">
        <v>27</v>
      </c>
      <c r="M376" s="8" t="s">
        <v>45</v>
      </c>
      <c r="N376" s="8">
        <v>76</v>
      </c>
      <c r="O376" s="8" t="s">
        <v>52</v>
      </c>
      <c r="P376" s="8" t="str">
        <f t="shared" si="10"/>
        <v>not valid</v>
      </c>
      <c r="Q376" s="8" t="str">
        <f t="shared" si="11"/>
        <v>Valid</v>
      </c>
    </row>
    <row r="377" spans="1:17" ht="13.8">
      <c r="A377" s="8" t="s">
        <v>421</v>
      </c>
      <c r="B377" s="8" t="s">
        <v>38</v>
      </c>
      <c r="C377" s="8" t="s">
        <v>17</v>
      </c>
      <c r="D377" s="9">
        <v>45943</v>
      </c>
      <c r="E377" s="7">
        <v>45825</v>
      </c>
      <c r="F377" s="8">
        <v>3504</v>
      </c>
      <c r="G377" s="8" t="s">
        <v>18</v>
      </c>
      <c r="H377" s="8" t="s">
        <v>19</v>
      </c>
      <c r="I377" s="7">
        <v>45817</v>
      </c>
      <c r="J377" s="8" t="s">
        <v>30</v>
      </c>
      <c r="K377" s="8" t="s">
        <v>31</v>
      </c>
      <c r="L377" s="8" t="s">
        <v>22</v>
      </c>
      <c r="M377" s="8" t="s">
        <v>36</v>
      </c>
      <c r="N377" s="8">
        <v>48</v>
      </c>
      <c r="O377" s="8" t="s">
        <v>46</v>
      </c>
      <c r="P377" s="8" t="str">
        <f t="shared" si="10"/>
        <v>not valid</v>
      </c>
      <c r="Q377" s="8" t="str">
        <f t="shared" si="11"/>
        <v>Not valid</v>
      </c>
    </row>
    <row r="378" spans="1:17" ht="13.8">
      <c r="A378" s="8" t="s">
        <v>422</v>
      </c>
      <c r="B378" s="8" t="s">
        <v>26</v>
      </c>
      <c r="C378" s="8" t="s">
        <v>17</v>
      </c>
      <c r="D378" s="7">
        <v>45835</v>
      </c>
      <c r="E378" s="7">
        <v>45869</v>
      </c>
      <c r="F378" s="8">
        <v>2511</v>
      </c>
      <c r="G378" s="8" t="s">
        <v>18</v>
      </c>
      <c r="H378" s="8" t="s">
        <v>49</v>
      </c>
      <c r="I378" s="7">
        <v>45924</v>
      </c>
      <c r="J378" s="8" t="s">
        <v>20</v>
      </c>
      <c r="K378" s="8" t="s">
        <v>21</v>
      </c>
      <c r="L378" s="8" t="s">
        <v>547</v>
      </c>
      <c r="M378" s="8" t="s">
        <v>32</v>
      </c>
      <c r="N378" s="8">
        <v>33</v>
      </c>
      <c r="O378" s="8" t="s">
        <v>24</v>
      </c>
      <c r="P378" s="8" t="str">
        <f t="shared" si="10"/>
        <v>Valid</v>
      </c>
      <c r="Q378" s="8" t="str">
        <f t="shared" si="11"/>
        <v>Valid</v>
      </c>
    </row>
    <row r="379" spans="1:17" ht="13.8">
      <c r="A379" s="8" t="s">
        <v>423</v>
      </c>
      <c r="B379" s="8" t="s">
        <v>51</v>
      </c>
      <c r="C379" s="8" t="s">
        <v>27</v>
      </c>
      <c r="D379" s="7">
        <v>45770</v>
      </c>
      <c r="E379" s="7">
        <v>45765</v>
      </c>
      <c r="F379" s="8">
        <v>0</v>
      </c>
      <c r="G379" s="8" t="s">
        <v>28</v>
      </c>
      <c r="H379" s="8" t="s">
        <v>19</v>
      </c>
      <c r="I379" s="8" t="s">
        <v>546</v>
      </c>
      <c r="J379" s="8" t="s">
        <v>20</v>
      </c>
      <c r="K379" s="8" t="s">
        <v>21</v>
      </c>
      <c r="L379" s="8" t="s">
        <v>44</v>
      </c>
      <c r="M379" s="8" t="s">
        <v>36</v>
      </c>
      <c r="N379" s="8">
        <v>47</v>
      </c>
      <c r="O379" s="8" t="s">
        <v>52</v>
      </c>
      <c r="P379" s="8" t="str">
        <f t="shared" si="10"/>
        <v>not valid</v>
      </c>
      <c r="Q379" s="8" t="str">
        <f t="shared" si="11"/>
        <v>Valid</v>
      </c>
    </row>
    <row r="380" spans="1:17" ht="13.8">
      <c r="A380" s="8" t="s">
        <v>424</v>
      </c>
      <c r="B380" s="8" t="s">
        <v>16</v>
      </c>
      <c r="C380" s="8" t="s">
        <v>17</v>
      </c>
      <c r="D380" s="7">
        <v>45907</v>
      </c>
      <c r="E380" s="7">
        <v>45705</v>
      </c>
      <c r="F380" s="8">
        <v>2158</v>
      </c>
      <c r="G380" s="8" t="s">
        <v>28</v>
      </c>
      <c r="H380" s="8" t="s">
        <v>49</v>
      </c>
      <c r="I380" s="7">
        <v>45688</v>
      </c>
      <c r="J380" s="8" t="s">
        <v>20</v>
      </c>
      <c r="K380" s="8" t="s">
        <v>43</v>
      </c>
      <c r="L380" s="8" t="s">
        <v>547</v>
      </c>
      <c r="M380" s="8" t="s">
        <v>45</v>
      </c>
      <c r="N380" s="8">
        <v>90</v>
      </c>
      <c r="O380" s="8" t="s">
        <v>24</v>
      </c>
      <c r="P380" s="8" t="str">
        <f t="shared" si="10"/>
        <v>not valid</v>
      </c>
      <c r="Q380" s="8" t="str">
        <f t="shared" si="11"/>
        <v>Not valid</v>
      </c>
    </row>
    <row r="381" spans="1:17" ht="13.8">
      <c r="A381" s="8" t="s">
        <v>425</v>
      </c>
      <c r="B381" s="8" t="s">
        <v>38</v>
      </c>
      <c r="C381" s="8" t="s">
        <v>17</v>
      </c>
      <c r="D381" s="7">
        <v>45715</v>
      </c>
      <c r="E381" s="7">
        <v>45730</v>
      </c>
      <c r="F381" s="8">
        <v>4567</v>
      </c>
      <c r="G381" s="8" t="s">
        <v>48</v>
      </c>
      <c r="H381" s="8" t="s">
        <v>29</v>
      </c>
      <c r="I381" s="7">
        <v>45749</v>
      </c>
      <c r="J381" s="8" t="s">
        <v>20</v>
      </c>
      <c r="K381" s="8" t="s">
        <v>31</v>
      </c>
      <c r="L381" s="8" t="s">
        <v>548</v>
      </c>
      <c r="M381" s="8" t="s">
        <v>23</v>
      </c>
      <c r="N381" s="8">
        <v>85</v>
      </c>
      <c r="O381" s="8" t="s">
        <v>46</v>
      </c>
      <c r="P381" s="8" t="str">
        <f t="shared" si="10"/>
        <v>Valid</v>
      </c>
      <c r="Q381" s="8" t="str">
        <f t="shared" si="11"/>
        <v>Valid</v>
      </c>
    </row>
    <row r="382" spans="1:17" ht="13.8">
      <c r="A382" s="8" t="s">
        <v>426</v>
      </c>
      <c r="B382" s="8" t="s">
        <v>16</v>
      </c>
      <c r="C382" s="8" t="s">
        <v>27</v>
      </c>
      <c r="D382" s="7">
        <v>45793</v>
      </c>
      <c r="E382" s="7">
        <v>45761</v>
      </c>
      <c r="F382" s="8">
        <v>0</v>
      </c>
      <c r="G382" s="8" t="s">
        <v>34</v>
      </c>
      <c r="H382" s="8" t="s">
        <v>49</v>
      </c>
      <c r="I382" s="8" t="s">
        <v>546</v>
      </c>
      <c r="J382" s="8" t="s">
        <v>30</v>
      </c>
      <c r="K382" s="8" t="s">
        <v>31</v>
      </c>
      <c r="L382" s="8" t="s">
        <v>27</v>
      </c>
      <c r="M382" s="8" t="s">
        <v>36</v>
      </c>
      <c r="N382" s="8">
        <v>94</v>
      </c>
      <c r="O382" s="8" t="s">
        <v>46</v>
      </c>
      <c r="P382" s="8" t="str">
        <f t="shared" si="10"/>
        <v>not valid</v>
      </c>
      <c r="Q382" s="8" t="str">
        <f t="shared" si="11"/>
        <v>Valid</v>
      </c>
    </row>
    <row r="383" spans="1:17" ht="13.8">
      <c r="A383" s="8" t="s">
        <v>427</v>
      </c>
      <c r="B383" s="8" t="s">
        <v>26</v>
      </c>
      <c r="C383" s="8" t="s">
        <v>27</v>
      </c>
      <c r="D383" s="7">
        <v>45915</v>
      </c>
      <c r="E383" s="7">
        <v>45826</v>
      </c>
      <c r="F383" s="8">
        <v>0</v>
      </c>
      <c r="G383" s="8" t="s">
        <v>48</v>
      </c>
      <c r="H383" s="8" t="s">
        <v>49</v>
      </c>
      <c r="I383" s="8" t="s">
        <v>546</v>
      </c>
      <c r="J383" s="8" t="s">
        <v>30</v>
      </c>
      <c r="K383" s="8" t="s">
        <v>40</v>
      </c>
      <c r="L383" s="8" t="s">
        <v>44</v>
      </c>
      <c r="M383" s="8" t="s">
        <v>45</v>
      </c>
      <c r="N383" s="8">
        <v>32</v>
      </c>
      <c r="O383" s="8" t="s">
        <v>24</v>
      </c>
      <c r="P383" s="8" t="str">
        <f t="shared" si="10"/>
        <v>not valid</v>
      </c>
      <c r="Q383" s="8" t="str">
        <f t="shared" si="11"/>
        <v>Valid</v>
      </c>
    </row>
    <row r="384" spans="1:17" ht="13.8">
      <c r="A384" s="8" t="s">
        <v>428</v>
      </c>
      <c r="B384" s="8" t="s">
        <v>26</v>
      </c>
      <c r="C384" s="8" t="s">
        <v>27</v>
      </c>
      <c r="D384" s="7">
        <v>45862</v>
      </c>
      <c r="E384" s="7">
        <v>45691</v>
      </c>
      <c r="F384" s="8">
        <v>0</v>
      </c>
      <c r="G384" s="8" t="s">
        <v>34</v>
      </c>
      <c r="H384" s="8" t="s">
        <v>35</v>
      </c>
      <c r="I384" s="8" t="s">
        <v>546</v>
      </c>
      <c r="J384" s="8" t="s">
        <v>30</v>
      </c>
      <c r="K384" s="8" t="s">
        <v>43</v>
      </c>
      <c r="L384" s="8" t="s">
        <v>27</v>
      </c>
      <c r="M384" s="8" t="s">
        <v>45</v>
      </c>
      <c r="N384" s="8">
        <v>79</v>
      </c>
      <c r="O384" s="8" t="s">
        <v>24</v>
      </c>
      <c r="P384" s="8" t="str">
        <f t="shared" si="10"/>
        <v>not valid</v>
      </c>
      <c r="Q384" s="8" t="str">
        <f t="shared" si="11"/>
        <v>Valid</v>
      </c>
    </row>
    <row r="385" spans="1:17" ht="13.8">
      <c r="A385" s="8" t="s">
        <v>429</v>
      </c>
      <c r="B385" s="8" t="s">
        <v>51</v>
      </c>
      <c r="C385" s="8" t="s">
        <v>27</v>
      </c>
      <c r="D385" s="7">
        <v>45890</v>
      </c>
      <c r="E385" s="7">
        <v>45686</v>
      </c>
      <c r="F385" s="8">
        <v>0</v>
      </c>
      <c r="G385" s="8" t="s">
        <v>34</v>
      </c>
      <c r="H385" s="8" t="s">
        <v>35</v>
      </c>
      <c r="I385" s="8" t="s">
        <v>546</v>
      </c>
      <c r="J385" s="8" t="s">
        <v>30</v>
      </c>
      <c r="K385" s="8" t="s">
        <v>31</v>
      </c>
      <c r="L385" s="8" t="s">
        <v>22</v>
      </c>
      <c r="M385" s="8" t="s">
        <v>36</v>
      </c>
      <c r="N385" s="8">
        <v>43</v>
      </c>
      <c r="O385" s="8" t="s">
        <v>46</v>
      </c>
      <c r="P385" s="8" t="str">
        <f t="shared" si="10"/>
        <v>not valid</v>
      </c>
      <c r="Q385" s="8" t="str">
        <f t="shared" si="11"/>
        <v>Valid</v>
      </c>
    </row>
    <row r="386" spans="1:17" ht="13.8">
      <c r="A386" s="8" t="s">
        <v>430</v>
      </c>
      <c r="B386" s="8" t="s">
        <v>16</v>
      </c>
      <c r="C386" s="8" t="s">
        <v>17</v>
      </c>
      <c r="D386" s="7">
        <v>45936</v>
      </c>
      <c r="E386" s="7">
        <v>45870</v>
      </c>
      <c r="F386" s="8">
        <v>4972</v>
      </c>
      <c r="G386" s="8" t="s">
        <v>18</v>
      </c>
      <c r="H386" s="8" t="s">
        <v>19</v>
      </c>
      <c r="I386" s="7">
        <v>45925</v>
      </c>
      <c r="J386" s="8" t="s">
        <v>20</v>
      </c>
      <c r="K386" s="8" t="s">
        <v>31</v>
      </c>
      <c r="L386" s="8" t="s">
        <v>548</v>
      </c>
      <c r="M386" s="8" t="s">
        <v>45</v>
      </c>
      <c r="N386" s="8">
        <v>30</v>
      </c>
      <c r="O386" s="8" t="s">
        <v>24</v>
      </c>
      <c r="P386" s="8" t="str">
        <f t="shared" ref="P386:P449" si="12">IF(OR(D386&lt;E386,D386=E386), "Valid","not valid")</f>
        <v>not valid</v>
      </c>
      <c r="Q386" s="8" t="str">
        <f t="shared" ref="Q386:Q449" si="13">IF(OR(D386 &lt;I386,D386=I386),"Valid","Not valid")</f>
        <v>Not valid</v>
      </c>
    </row>
    <row r="387" spans="1:17" ht="13.8">
      <c r="A387" s="8" t="s">
        <v>431</v>
      </c>
      <c r="B387" s="8" t="s">
        <v>51</v>
      </c>
      <c r="C387" s="8" t="s">
        <v>39</v>
      </c>
      <c r="D387" s="7">
        <v>45829</v>
      </c>
      <c r="E387" s="7">
        <v>45829</v>
      </c>
      <c r="F387" s="8">
        <v>0</v>
      </c>
      <c r="G387" s="8" t="s">
        <v>34</v>
      </c>
      <c r="H387" s="8" t="s">
        <v>29</v>
      </c>
      <c r="I387" s="8" t="s">
        <v>546</v>
      </c>
      <c r="J387" s="8" t="s">
        <v>30</v>
      </c>
      <c r="K387" s="8" t="s">
        <v>40</v>
      </c>
      <c r="L387" s="8" t="s">
        <v>41</v>
      </c>
      <c r="M387" s="8" t="s">
        <v>45</v>
      </c>
      <c r="N387" s="8">
        <v>83</v>
      </c>
      <c r="O387" s="8" t="s">
        <v>24</v>
      </c>
      <c r="P387" s="8" t="str">
        <f t="shared" si="12"/>
        <v>Valid</v>
      </c>
      <c r="Q387" s="8" t="str">
        <f t="shared" si="13"/>
        <v>Valid</v>
      </c>
    </row>
    <row r="388" spans="1:17" ht="13.8">
      <c r="A388" s="8" t="s">
        <v>432</v>
      </c>
      <c r="B388" s="8" t="s">
        <v>51</v>
      </c>
      <c r="C388" s="8" t="s">
        <v>39</v>
      </c>
      <c r="D388" s="7">
        <v>45750</v>
      </c>
      <c r="E388" s="7">
        <v>45750</v>
      </c>
      <c r="F388" s="8">
        <v>0</v>
      </c>
      <c r="G388" s="8" t="s">
        <v>34</v>
      </c>
      <c r="H388" s="8" t="s">
        <v>49</v>
      </c>
      <c r="I388" s="8" t="s">
        <v>546</v>
      </c>
      <c r="J388" s="8" t="s">
        <v>30</v>
      </c>
      <c r="K388" s="8" t="s">
        <v>40</v>
      </c>
      <c r="L388" s="8" t="s">
        <v>44</v>
      </c>
      <c r="M388" s="8" t="s">
        <v>36</v>
      </c>
      <c r="N388" s="8">
        <v>69</v>
      </c>
      <c r="O388" s="8" t="s">
        <v>52</v>
      </c>
      <c r="P388" s="8" t="str">
        <f t="shared" si="12"/>
        <v>Valid</v>
      </c>
      <c r="Q388" s="8" t="str">
        <f t="shared" si="13"/>
        <v>Valid</v>
      </c>
    </row>
    <row r="389" spans="1:17" ht="13.8">
      <c r="A389" s="8" t="s">
        <v>433</v>
      </c>
      <c r="B389" s="8" t="s">
        <v>26</v>
      </c>
      <c r="C389" s="8" t="s">
        <v>39</v>
      </c>
      <c r="D389" s="7">
        <v>45692</v>
      </c>
      <c r="E389" s="7">
        <v>45692</v>
      </c>
      <c r="F389" s="8">
        <v>0</v>
      </c>
      <c r="G389" s="8" t="s">
        <v>48</v>
      </c>
      <c r="H389" s="8" t="s">
        <v>35</v>
      </c>
      <c r="I389" s="8" t="s">
        <v>546</v>
      </c>
      <c r="J389" s="8" t="s">
        <v>30</v>
      </c>
      <c r="K389" s="8" t="s">
        <v>40</v>
      </c>
      <c r="L389" s="8" t="s">
        <v>41</v>
      </c>
      <c r="M389" s="8" t="s">
        <v>32</v>
      </c>
      <c r="N389" s="8">
        <v>58</v>
      </c>
      <c r="O389" s="8" t="s">
        <v>46</v>
      </c>
      <c r="P389" s="8" t="str">
        <f t="shared" si="12"/>
        <v>Valid</v>
      </c>
      <c r="Q389" s="8" t="str">
        <f t="shared" si="13"/>
        <v>Valid</v>
      </c>
    </row>
    <row r="390" spans="1:17" ht="13.8">
      <c r="A390" s="8" t="s">
        <v>434</v>
      </c>
      <c r="B390" s="8" t="s">
        <v>16</v>
      </c>
      <c r="C390" s="8" t="s">
        <v>27</v>
      </c>
      <c r="D390" s="7">
        <v>45932</v>
      </c>
      <c r="E390" s="7">
        <v>45893</v>
      </c>
      <c r="F390" s="8">
        <v>0</v>
      </c>
      <c r="G390" s="8" t="s">
        <v>18</v>
      </c>
      <c r="H390" s="8" t="s">
        <v>49</v>
      </c>
      <c r="I390" s="8" t="s">
        <v>546</v>
      </c>
      <c r="J390" s="8" t="s">
        <v>20</v>
      </c>
      <c r="K390" s="8" t="s">
        <v>40</v>
      </c>
      <c r="L390" s="8" t="s">
        <v>41</v>
      </c>
      <c r="M390" s="8" t="s">
        <v>45</v>
      </c>
      <c r="N390" s="8">
        <v>89</v>
      </c>
      <c r="O390" s="8" t="s">
        <v>46</v>
      </c>
      <c r="P390" s="8" t="str">
        <f t="shared" si="12"/>
        <v>not valid</v>
      </c>
      <c r="Q390" s="8" t="str">
        <f t="shared" si="13"/>
        <v>Valid</v>
      </c>
    </row>
    <row r="391" spans="1:17" ht="13.8">
      <c r="A391" s="8" t="s">
        <v>435</v>
      </c>
      <c r="B391" s="8" t="s">
        <v>38</v>
      </c>
      <c r="C391" s="8" t="s">
        <v>27</v>
      </c>
      <c r="D391" s="7">
        <v>45822</v>
      </c>
      <c r="E391" s="7">
        <v>45808</v>
      </c>
      <c r="F391" s="8">
        <v>0</v>
      </c>
      <c r="G391" s="8" t="s">
        <v>48</v>
      </c>
      <c r="H391" s="8" t="s">
        <v>49</v>
      </c>
      <c r="I391" s="8" t="s">
        <v>546</v>
      </c>
      <c r="J391" s="8" t="s">
        <v>20</v>
      </c>
      <c r="K391" s="8" t="s">
        <v>21</v>
      </c>
      <c r="L391" s="8" t="s">
        <v>27</v>
      </c>
      <c r="M391" s="8" t="s">
        <v>36</v>
      </c>
      <c r="N391" s="8">
        <v>46</v>
      </c>
      <c r="O391" s="8" t="s">
        <v>46</v>
      </c>
      <c r="P391" s="8" t="str">
        <f t="shared" si="12"/>
        <v>not valid</v>
      </c>
      <c r="Q391" s="8" t="str">
        <f t="shared" si="13"/>
        <v>Valid</v>
      </c>
    </row>
    <row r="392" spans="1:17" ht="13.8">
      <c r="A392" s="8" t="s">
        <v>436</v>
      </c>
      <c r="B392" s="8" t="s">
        <v>38</v>
      </c>
      <c r="C392" s="8" t="s">
        <v>39</v>
      </c>
      <c r="D392" s="7">
        <v>45859</v>
      </c>
      <c r="E392" s="7">
        <v>45859</v>
      </c>
      <c r="F392" s="8">
        <v>0</v>
      </c>
      <c r="G392" s="8" t="s">
        <v>18</v>
      </c>
      <c r="H392" s="8" t="s">
        <v>19</v>
      </c>
      <c r="I392" s="8" t="s">
        <v>546</v>
      </c>
      <c r="J392" s="8" t="s">
        <v>30</v>
      </c>
      <c r="K392" s="8" t="s">
        <v>43</v>
      </c>
      <c r="L392" s="8" t="s">
        <v>22</v>
      </c>
      <c r="M392" s="8" t="s">
        <v>23</v>
      </c>
      <c r="N392" s="8">
        <v>77</v>
      </c>
      <c r="O392" s="8" t="s">
        <v>24</v>
      </c>
      <c r="P392" s="8" t="str">
        <f t="shared" si="12"/>
        <v>Valid</v>
      </c>
      <c r="Q392" s="8" t="str">
        <f t="shared" si="13"/>
        <v>Valid</v>
      </c>
    </row>
    <row r="393" spans="1:17" ht="13.8">
      <c r="A393" s="8" t="s">
        <v>437</v>
      </c>
      <c r="B393" s="8" t="s">
        <v>16</v>
      </c>
      <c r="C393" s="8" t="s">
        <v>17</v>
      </c>
      <c r="D393" s="7">
        <v>45835</v>
      </c>
      <c r="E393" s="7">
        <v>45786</v>
      </c>
      <c r="F393" s="8">
        <v>3940</v>
      </c>
      <c r="G393" s="8" t="s">
        <v>48</v>
      </c>
      <c r="H393" s="8" t="s">
        <v>49</v>
      </c>
      <c r="I393" s="7">
        <v>45760</v>
      </c>
      <c r="J393" s="8" t="s">
        <v>30</v>
      </c>
      <c r="K393" s="8" t="s">
        <v>40</v>
      </c>
      <c r="L393" s="8" t="s">
        <v>548</v>
      </c>
      <c r="M393" s="8" t="s">
        <v>36</v>
      </c>
      <c r="N393" s="8">
        <v>83</v>
      </c>
      <c r="O393" s="8" t="s">
        <v>24</v>
      </c>
      <c r="P393" s="8" t="str">
        <f t="shared" si="12"/>
        <v>not valid</v>
      </c>
      <c r="Q393" s="8" t="str">
        <f t="shared" si="13"/>
        <v>Not valid</v>
      </c>
    </row>
    <row r="394" spans="1:17" ht="13.8">
      <c r="A394" s="8" t="s">
        <v>438</v>
      </c>
      <c r="B394" s="8" t="s">
        <v>38</v>
      </c>
      <c r="C394" s="8" t="s">
        <v>17</v>
      </c>
      <c r="D394" s="7">
        <v>45788</v>
      </c>
      <c r="E394" s="7">
        <v>45916</v>
      </c>
      <c r="F394" s="8">
        <v>3948</v>
      </c>
      <c r="G394" s="8" t="s">
        <v>34</v>
      </c>
      <c r="H394" s="8" t="s">
        <v>19</v>
      </c>
      <c r="I394" s="7">
        <v>45886</v>
      </c>
      <c r="J394" s="8" t="s">
        <v>20</v>
      </c>
      <c r="K394" s="8" t="s">
        <v>31</v>
      </c>
      <c r="L394" s="8" t="s">
        <v>27</v>
      </c>
      <c r="M394" s="8" t="s">
        <v>32</v>
      </c>
      <c r="N394" s="8">
        <v>60</v>
      </c>
      <c r="O394" s="8" t="s">
        <v>46</v>
      </c>
      <c r="P394" s="8" t="str">
        <f t="shared" si="12"/>
        <v>Valid</v>
      </c>
      <c r="Q394" s="8" t="str">
        <f t="shared" si="13"/>
        <v>Valid</v>
      </c>
    </row>
    <row r="395" spans="1:17" ht="13.8">
      <c r="A395" s="8" t="s">
        <v>439</v>
      </c>
      <c r="B395" s="8" t="s">
        <v>26</v>
      </c>
      <c r="C395" s="8" t="s">
        <v>17</v>
      </c>
      <c r="D395" s="7">
        <v>45731</v>
      </c>
      <c r="E395" s="7">
        <v>45751</v>
      </c>
      <c r="F395" s="8">
        <v>4027</v>
      </c>
      <c r="G395" s="8" t="s">
        <v>34</v>
      </c>
      <c r="H395" s="8" t="s">
        <v>35</v>
      </c>
      <c r="I395" s="7">
        <v>45898</v>
      </c>
      <c r="J395" s="8" t="s">
        <v>20</v>
      </c>
      <c r="K395" s="8" t="s">
        <v>31</v>
      </c>
      <c r="L395" s="8" t="s">
        <v>548</v>
      </c>
      <c r="M395" s="8" t="s">
        <v>23</v>
      </c>
      <c r="N395" s="8">
        <v>32</v>
      </c>
      <c r="O395" s="8" t="s">
        <v>24</v>
      </c>
      <c r="P395" s="8" t="str">
        <f t="shared" si="12"/>
        <v>Valid</v>
      </c>
      <c r="Q395" s="8" t="str">
        <f t="shared" si="13"/>
        <v>Valid</v>
      </c>
    </row>
    <row r="396" spans="1:17" ht="13.8">
      <c r="A396" s="8" t="s">
        <v>440</v>
      </c>
      <c r="B396" s="8" t="s">
        <v>38</v>
      </c>
      <c r="C396" s="8" t="s">
        <v>17</v>
      </c>
      <c r="D396" s="7">
        <v>45706</v>
      </c>
      <c r="E396" s="7">
        <v>45936</v>
      </c>
      <c r="F396" s="8">
        <v>3638</v>
      </c>
      <c r="G396" s="8" t="s">
        <v>28</v>
      </c>
      <c r="H396" s="8" t="s">
        <v>35</v>
      </c>
      <c r="I396" s="7">
        <v>45767</v>
      </c>
      <c r="J396" s="8" t="s">
        <v>30</v>
      </c>
      <c r="K396" s="8" t="s">
        <v>43</v>
      </c>
      <c r="L396" s="8" t="s">
        <v>22</v>
      </c>
      <c r="M396" s="8" t="s">
        <v>45</v>
      </c>
      <c r="N396" s="8">
        <v>46</v>
      </c>
      <c r="O396" s="8" t="s">
        <v>52</v>
      </c>
      <c r="P396" s="8" t="str">
        <f t="shared" si="12"/>
        <v>Valid</v>
      </c>
      <c r="Q396" s="8" t="str">
        <f t="shared" si="13"/>
        <v>Valid</v>
      </c>
    </row>
    <row r="397" spans="1:17" ht="13.8">
      <c r="A397" s="8" t="s">
        <v>441</v>
      </c>
      <c r="B397" s="8" t="s">
        <v>16</v>
      </c>
      <c r="C397" s="8" t="s">
        <v>39</v>
      </c>
      <c r="D397" s="7">
        <v>45889</v>
      </c>
      <c r="E397" s="7">
        <v>45889</v>
      </c>
      <c r="F397" s="8">
        <v>0</v>
      </c>
      <c r="G397" s="8" t="s">
        <v>48</v>
      </c>
      <c r="H397" s="8" t="s">
        <v>49</v>
      </c>
      <c r="I397" s="8" t="s">
        <v>546</v>
      </c>
      <c r="J397" s="8" t="s">
        <v>30</v>
      </c>
      <c r="K397" s="8" t="s">
        <v>31</v>
      </c>
      <c r="L397" s="8" t="s">
        <v>41</v>
      </c>
      <c r="M397" s="8" t="s">
        <v>45</v>
      </c>
      <c r="N397" s="8">
        <v>75</v>
      </c>
      <c r="O397" s="8" t="s">
        <v>52</v>
      </c>
      <c r="P397" s="8" t="str">
        <f t="shared" si="12"/>
        <v>Valid</v>
      </c>
      <c r="Q397" s="8" t="str">
        <f t="shared" si="13"/>
        <v>Valid</v>
      </c>
    </row>
    <row r="398" spans="1:17" ht="13.8">
      <c r="A398" s="8" t="s">
        <v>442</v>
      </c>
      <c r="B398" s="8" t="s">
        <v>51</v>
      </c>
      <c r="C398" s="8" t="s">
        <v>39</v>
      </c>
      <c r="D398" s="9">
        <v>45946</v>
      </c>
      <c r="E398" s="9">
        <v>45946</v>
      </c>
      <c r="F398" s="8">
        <v>0</v>
      </c>
      <c r="G398" s="8" t="s">
        <v>18</v>
      </c>
      <c r="H398" s="8" t="s">
        <v>35</v>
      </c>
      <c r="I398" s="8" t="s">
        <v>546</v>
      </c>
      <c r="J398" s="8" t="s">
        <v>20</v>
      </c>
      <c r="K398" s="8" t="s">
        <v>31</v>
      </c>
      <c r="L398" s="8" t="s">
        <v>41</v>
      </c>
      <c r="M398" s="8" t="s">
        <v>32</v>
      </c>
      <c r="N398" s="8">
        <v>94</v>
      </c>
      <c r="O398" s="8" t="s">
        <v>24</v>
      </c>
      <c r="P398" s="8" t="str">
        <f t="shared" si="12"/>
        <v>Valid</v>
      </c>
      <c r="Q398" s="8" t="str">
        <f t="shared" si="13"/>
        <v>Valid</v>
      </c>
    </row>
    <row r="399" spans="1:17" ht="13.8">
      <c r="A399" s="8" t="s">
        <v>443</v>
      </c>
      <c r="B399" s="8" t="s">
        <v>16</v>
      </c>
      <c r="C399" s="8" t="s">
        <v>17</v>
      </c>
      <c r="D399" s="7">
        <v>45674</v>
      </c>
      <c r="E399" s="7">
        <v>45858</v>
      </c>
      <c r="F399" s="8">
        <v>3442</v>
      </c>
      <c r="G399" s="8" t="s">
        <v>28</v>
      </c>
      <c r="H399" s="8" t="s">
        <v>35</v>
      </c>
      <c r="I399" s="7">
        <v>45920</v>
      </c>
      <c r="J399" s="8" t="s">
        <v>20</v>
      </c>
      <c r="K399" s="8" t="s">
        <v>21</v>
      </c>
      <c r="L399" s="8" t="s">
        <v>547</v>
      </c>
      <c r="M399" s="8" t="s">
        <v>32</v>
      </c>
      <c r="N399" s="8">
        <v>51</v>
      </c>
      <c r="O399" s="8" t="s">
        <v>46</v>
      </c>
      <c r="P399" s="8" t="str">
        <f t="shared" si="12"/>
        <v>Valid</v>
      </c>
      <c r="Q399" s="8" t="str">
        <f t="shared" si="13"/>
        <v>Valid</v>
      </c>
    </row>
    <row r="400" spans="1:17" ht="13.8">
      <c r="A400" s="8" t="s">
        <v>444</v>
      </c>
      <c r="B400" s="8" t="s">
        <v>26</v>
      </c>
      <c r="C400" s="8" t="s">
        <v>27</v>
      </c>
      <c r="D400" s="7">
        <v>45689</v>
      </c>
      <c r="E400" s="7">
        <v>45780</v>
      </c>
      <c r="F400" s="8">
        <v>0</v>
      </c>
      <c r="G400" s="8" t="s">
        <v>28</v>
      </c>
      <c r="H400" s="8" t="s">
        <v>35</v>
      </c>
      <c r="I400" s="8" t="s">
        <v>546</v>
      </c>
      <c r="J400" s="8" t="s">
        <v>20</v>
      </c>
      <c r="K400" s="8" t="s">
        <v>31</v>
      </c>
      <c r="L400" s="8" t="s">
        <v>22</v>
      </c>
      <c r="M400" s="8" t="s">
        <v>45</v>
      </c>
      <c r="N400" s="8">
        <v>87</v>
      </c>
      <c r="O400" s="8" t="s">
        <v>46</v>
      </c>
      <c r="P400" s="8" t="str">
        <f t="shared" si="12"/>
        <v>Valid</v>
      </c>
      <c r="Q400" s="8" t="str">
        <f t="shared" si="13"/>
        <v>Valid</v>
      </c>
    </row>
    <row r="401" spans="1:17" ht="13.8">
      <c r="A401" s="8" t="s">
        <v>445</v>
      </c>
      <c r="B401" s="8" t="s">
        <v>38</v>
      </c>
      <c r="C401" s="8" t="s">
        <v>27</v>
      </c>
      <c r="D401" s="7">
        <v>45665</v>
      </c>
      <c r="E401" s="7">
        <v>45738</v>
      </c>
      <c r="F401" s="8">
        <v>0</v>
      </c>
      <c r="G401" s="8" t="s">
        <v>28</v>
      </c>
      <c r="H401" s="8" t="s">
        <v>29</v>
      </c>
      <c r="I401" s="8" t="s">
        <v>546</v>
      </c>
      <c r="J401" s="8" t="s">
        <v>30</v>
      </c>
      <c r="K401" s="8" t="s">
        <v>21</v>
      </c>
      <c r="L401" s="8" t="s">
        <v>27</v>
      </c>
      <c r="M401" s="8" t="s">
        <v>32</v>
      </c>
      <c r="N401" s="8">
        <v>92</v>
      </c>
      <c r="O401" s="8" t="s">
        <v>52</v>
      </c>
      <c r="P401" s="8" t="str">
        <f t="shared" si="12"/>
        <v>Valid</v>
      </c>
      <c r="Q401" s="8" t="str">
        <f t="shared" si="13"/>
        <v>Valid</v>
      </c>
    </row>
    <row r="402" spans="1:17" ht="13.8">
      <c r="A402" s="8" t="s">
        <v>446</v>
      </c>
      <c r="B402" s="8" t="s">
        <v>26</v>
      </c>
      <c r="C402" s="8" t="s">
        <v>39</v>
      </c>
      <c r="D402" s="7">
        <v>45681</v>
      </c>
      <c r="E402" s="7">
        <v>45681</v>
      </c>
      <c r="F402" s="8">
        <v>0</v>
      </c>
      <c r="G402" s="8" t="s">
        <v>48</v>
      </c>
      <c r="H402" s="8" t="s">
        <v>49</v>
      </c>
      <c r="I402" s="8" t="s">
        <v>546</v>
      </c>
      <c r="J402" s="8" t="s">
        <v>30</v>
      </c>
      <c r="K402" s="8" t="s">
        <v>43</v>
      </c>
      <c r="L402" s="8" t="s">
        <v>22</v>
      </c>
      <c r="M402" s="8" t="s">
        <v>32</v>
      </c>
      <c r="N402" s="8">
        <v>61</v>
      </c>
      <c r="O402" s="8" t="s">
        <v>46</v>
      </c>
      <c r="P402" s="8" t="str">
        <f t="shared" si="12"/>
        <v>Valid</v>
      </c>
      <c r="Q402" s="8" t="str">
        <f t="shared" si="13"/>
        <v>Valid</v>
      </c>
    </row>
    <row r="403" spans="1:17" ht="13.8">
      <c r="A403" s="8" t="s">
        <v>447</v>
      </c>
      <c r="B403" s="8" t="s">
        <v>51</v>
      </c>
      <c r="C403" s="8" t="s">
        <v>17</v>
      </c>
      <c r="D403" s="7">
        <v>45747</v>
      </c>
      <c r="E403" s="7">
        <v>45914</v>
      </c>
      <c r="F403" s="8">
        <v>4905</v>
      </c>
      <c r="G403" s="8" t="s">
        <v>18</v>
      </c>
      <c r="H403" s="8" t="s">
        <v>19</v>
      </c>
      <c r="I403" s="7">
        <v>45814</v>
      </c>
      <c r="J403" s="8" t="s">
        <v>30</v>
      </c>
      <c r="K403" s="8" t="s">
        <v>43</v>
      </c>
      <c r="L403" s="8" t="s">
        <v>22</v>
      </c>
      <c r="M403" s="8" t="s">
        <v>45</v>
      </c>
      <c r="N403" s="8">
        <v>32</v>
      </c>
      <c r="O403" s="8" t="s">
        <v>52</v>
      </c>
      <c r="P403" s="8" t="str">
        <f t="shared" si="12"/>
        <v>Valid</v>
      </c>
      <c r="Q403" s="8" t="str">
        <f t="shared" si="13"/>
        <v>Valid</v>
      </c>
    </row>
    <row r="404" spans="1:17" ht="13.8">
      <c r="A404" s="8" t="s">
        <v>448</v>
      </c>
      <c r="B404" s="8" t="s">
        <v>51</v>
      </c>
      <c r="C404" s="8" t="s">
        <v>39</v>
      </c>
      <c r="D404" s="7">
        <v>45799</v>
      </c>
      <c r="E404" s="7">
        <v>45799</v>
      </c>
      <c r="F404" s="8">
        <v>0</v>
      </c>
      <c r="G404" s="8" t="s">
        <v>48</v>
      </c>
      <c r="H404" s="8" t="s">
        <v>35</v>
      </c>
      <c r="I404" s="8" t="s">
        <v>546</v>
      </c>
      <c r="J404" s="8" t="s">
        <v>20</v>
      </c>
      <c r="K404" s="8" t="s">
        <v>43</v>
      </c>
      <c r="L404" s="8" t="s">
        <v>22</v>
      </c>
      <c r="M404" s="8" t="s">
        <v>36</v>
      </c>
      <c r="N404" s="8">
        <v>34</v>
      </c>
      <c r="O404" s="8" t="s">
        <v>52</v>
      </c>
      <c r="P404" s="8" t="str">
        <f t="shared" si="12"/>
        <v>Valid</v>
      </c>
      <c r="Q404" s="8" t="str">
        <f t="shared" si="13"/>
        <v>Valid</v>
      </c>
    </row>
    <row r="405" spans="1:17" ht="13.8">
      <c r="A405" s="8" t="s">
        <v>449</v>
      </c>
      <c r="B405" s="8" t="s">
        <v>16</v>
      </c>
      <c r="C405" s="8" t="s">
        <v>27</v>
      </c>
      <c r="D405" s="7">
        <v>45757</v>
      </c>
      <c r="E405" s="7">
        <v>45917</v>
      </c>
      <c r="F405" s="8">
        <v>0</v>
      </c>
      <c r="G405" s="8" t="s">
        <v>48</v>
      </c>
      <c r="H405" s="8" t="s">
        <v>49</v>
      </c>
      <c r="I405" s="8" t="s">
        <v>546</v>
      </c>
      <c r="J405" s="8" t="s">
        <v>30</v>
      </c>
      <c r="K405" s="8" t="s">
        <v>43</v>
      </c>
      <c r="L405" s="8" t="s">
        <v>27</v>
      </c>
      <c r="M405" s="8" t="s">
        <v>45</v>
      </c>
      <c r="N405" s="8">
        <v>70</v>
      </c>
      <c r="O405" s="8" t="s">
        <v>46</v>
      </c>
      <c r="P405" s="8" t="str">
        <f t="shared" si="12"/>
        <v>Valid</v>
      </c>
      <c r="Q405" s="8" t="str">
        <f t="shared" si="13"/>
        <v>Valid</v>
      </c>
    </row>
    <row r="406" spans="1:17" ht="13.8">
      <c r="A406" s="8" t="s">
        <v>450</v>
      </c>
      <c r="B406" s="8" t="s">
        <v>16</v>
      </c>
      <c r="C406" s="8" t="s">
        <v>17</v>
      </c>
      <c r="D406" s="7">
        <v>45883</v>
      </c>
      <c r="E406" s="7">
        <v>45713</v>
      </c>
      <c r="F406" s="8">
        <v>4734</v>
      </c>
      <c r="G406" s="8" t="s">
        <v>28</v>
      </c>
      <c r="H406" s="8" t="s">
        <v>19</v>
      </c>
      <c r="I406" s="7">
        <v>45729</v>
      </c>
      <c r="J406" s="8" t="s">
        <v>20</v>
      </c>
      <c r="K406" s="8" t="s">
        <v>40</v>
      </c>
      <c r="L406" s="8" t="s">
        <v>27</v>
      </c>
      <c r="M406" s="8" t="s">
        <v>36</v>
      </c>
      <c r="N406" s="8">
        <v>60</v>
      </c>
      <c r="O406" s="8" t="s">
        <v>24</v>
      </c>
      <c r="P406" s="8" t="str">
        <f t="shared" si="12"/>
        <v>not valid</v>
      </c>
      <c r="Q406" s="8" t="str">
        <f t="shared" si="13"/>
        <v>Not valid</v>
      </c>
    </row>
    <row r="407" spans="1:17" ht="13.8">
      <c r="A407" s="8" t="s">
        <v>451</v>
      </c>
      <c r="B407" s="8" t="s">
        <v>38</v>
      </c>
      <c r="C407" s="8" t="s">
        <v>17</v>
      </c>
      <c r="D407" s="7">
        <v>45680</v>
      </c>
      <c r="E407" s="7">
        <v>45909</v>
      </c>
      <c r="F407" s="8">
        <v>4296</v>
      </c>
      <c r="G407" s="8" t="s">
        <v>48</v>
      </c>
      <c r="H407" s="8" t="s">
        <v>35</v>
      </c>
      <c r="I407" s="7">
        <v>45672</v>
      </c>
      <c r="J407" s="8" t="s">
        <v>30</v>
      </c>
      <c r="K407" s="8" t="s">
        <v>21</v>
      </c>
      <c r="L407" s="8" t="s">
        <v>22</v>
      </c>
      <c r="M407" s="8" t="s">
        <v>36</v>
      </c>
      <c r="N407" s="8">
        <v>79</v>
      </c>
      <c r="O407" s="8" t="s">
        <v>24</v>
      </c>
      <c r="P407" s="8" t="str">
        <f t="shared" si="12"/>
        <v>Valid</v>
      </c>
      <c r="Q407" s="8" t="str">
        <f t="shared" si="13"/>
        <v>Not valid</v>
      </c>
    </row>
    <row r="408" spans="1:17" ht="13.8">
      <c r="A408" s="8" t="s">
        <v>452</v>
      </c>
      <c r="B408" s="8" t="s">
        <v>51</v>
      </c>
      <c r="C408" s="8" t="s">
        <v>27</v>
      </c>
      <c r="D408" s="7">
        <v>45795</v>
      </c>
      <c r="E408" s="7">
        <v>45715</v>
      </c>
      <c r="F408" s="8">
        <v>0</v>
      </c>
      <c r="G408" s="8" t="s">
        <v>34</v>
      </c>
      <c r="H408" s="8" t="s">
        <v>35</v>
      </c>
      <c r="I408" s="8" t="s">
        <v>546</v>
      </c>
      <c r="J408" s="8" t="s">
        <v>30</v>
      </c>
      <c r="K408" s="8" t="s">
        <v>21</v>
      </c>
      <c r="L408" s="8" t="s">
        <v>22</v>
      </c>
      <c r="M408" s="8" t="s">
        <v>36</v>
      </c>
      <c r="N408" s="8">
        <v>80</v>
      </c>
      <c r="O408" s="8" t="s">
        <v>24</v>
      </c>
      <c r="P408" s="8" t="str">
        <f t="shared" si="12"/>
        <v>not valid</v>
      </c>
      <c r="Q408" s="8" t="str">
        <f t="shared" si="13"/>
        <v>Valid</v>
      </c>
    </row>
    <row r="409" spans="1:17" ht="13.8">
      <c r="A409" s="8" t="s">
        <v>453</v>
      </c>
      <c r="B409" s="8" t="s">
        <v>51</v>
      </c>
      <c r="C409" s="8" t="s">
        <v>27</v>
      </c>
      <c r="D409" s="7">
        <v>45706</v>
      </c>
      <c r="E409" s="7">
        <v>45811</v>
      </c>
      <c r="F409" s="8">
        <v>0</v>
      </c>
      <c r="G409" s="8" t="s">
        <v>48</v>
      </c>
      <c r="H409" s="8" t="s">
        <v>29</v>
      </c>
      <c r="I409" s="8" t="s">
        <v>546</v>
      </c>
      <c r="J409" s="8" t="s">
        <v>30</v>
      </c>
      <c r="K409" s="8" t="s">
        <v>21</v>
      </c>
      <c r="L409" s="8" t="s">
        <v>27</v>
      </c>
      <c r="M409" s="8" t="s">
        <v>23</v>
      </c>
      <c r="N409" s="8">
        <v>91</v>
      </c>
      <c r="O409" s="8" t="s">
        <v>24</v>
      </c>
      <c r="P409" s="8" t="str">
        <f t="shared" si="12"/>
        <v>Valid</v>
      </c>
      <c r="Q409" s="8" t="str">
        <f t="shared" si="13"/>
        <v>Valid</v>
      </c>
    </row>
    <row r="410" spans="1:17" ht="13.8">
      <c r="A410" s="8" t="s">
        <v>454</v>
      </c>
      <c r="B410" s="8" t="s">
        <v>51</v>
      </c>
      <c r="C410" s="8" t="s">
        <v>27</v>
      </c>
      <c r="D410" s="7">
        <v>45939</v>
      </c>
      <c r="E410" s="7">
        <v>45907</v>
      </c>
      <c r="F410" s="8">
        <v>0</v>
      </c>
      <c r="G410" s="8" t="s">
        <v>48</v>
      </c>
      <c r="H410" s="8" t="s">
        <v>19</v>
      </c>
      <c r="I410" s="8" t="s">
        <v>546</v>
      </c>
      <c r="J410" s="8" t="s">
        <v>20</v>
      </c>
      <c r="K410" s="8" t="s">
        <v>43</v>
      </c>
      <c r="L410" s="8" t="s">
        <v>27</v>
      </c>
      <c r="M410" s="8" t="s">
        <v>23</v>
      </c>
      <c r="N410" s="8">
        <v>60</v>
      </c>
      <c r="O410" s="8" t="s">
        <v>46</v>
      </c>
      <c r="P410" s="8" t="str">
        <f t="shared" si="12"/>
        <v>not valid</v>
      </c>
      <c r="Q410" s="8" t="str">
        <f t="shared" si="13"/>
        <v>Valid</v>
      </c>
    </row>
    <row r="411" spans="1:17" ht="13.8">
      <c r="A411" s="8" t="s">
        <v>455</v>
      </c>
      <c r="B411" s="8" t="s">
        <v>16</v>
      </c>
      <c r="C411" s="8" t="s">
        <v>17</v>
      </c>
      <c r="D411" s="7">
        <v>45836</v>
      </c>
      <c r="E411" s="7">
        <v>45694</v>
      </c>
      <c r="F411" s="8">
        <v>2690</v>
      </c>
      <c r="G411" s="8" t="s">
        <v>28</v>
      </c>
      <c r="H411" s="8" t="s">
        <v>49</v>
      </c>
      <c r="I411" s="7">
        <v>45760</v>
      </c>
      <c r="J411" s="8" t="s">
        <v>20</v>
      </c>
      <c r="K411" s="8" t="s">
        <v>31</v>
      </c>
      <c r="L411" s="8" t="s">
        <v>27</v>
      </c>
      <c r="M411" s="8" t="s">
        <v>36</v>
      </c>
      <c r="N411" s="8">
        <v>64</v>
      </c>
      <c r="O411" s="8" t="s">
        <v>52</v>
      </c>
      <c r="P411" s="8" t="str">
        <f t="shared" si="12"/>
        <v>not valid</v>
      </c>
      <c r="Q411" s="8" t="str">
        <f t="shared" si="13"/>
        <v>Not valid</v>
      </c>
    </row>
    <row r="412" spans="1:17" ht="13.8">
      <c r="A412" s="8" t="s">
        <v>456</v>
      </c>
      <c r="B412" s="8" t="s">
        <v>38</v>
      </c>
      <c r="C412" s="8" t="s">
        <v>39</v>
      </c>
      <c r="D412" s="7">
        <v>45736</v>
      </c>
      <c r="E412" s="7">
        <v>45736</v>
      </c>
      <c r="F412" s="8">
        <v>0</v>
      </c>
      <c r="G412" s="8" t="s">
        <v>34</v>
      </c>
      <c r="H412" s="8" t="s">
        <v>35</v>
      </c>
      <c r="I412" s="8" t="s">
        <v>546</v>
      </c>
      <c r="J412" s="8" t="s">
        <v>30</v>
      </c>
      <c r="K412" s="8" t="s">
        <v>43</v>
      </c>
      <c r="L412" s="8" t="s">
        <v>41</v>
      </c>
      <c r="M412" s="8" t="s">
        <v>45</v>
      </c>
      <c r="N412" s="8">
        <v>31</v>
      </c>
      <c r="O412" s="8" t="s">
        <v>24</v>
      </c>
      <c r="P412" s="8" t="str">
        <f t="shared" si="12"/>
        <v>Valid</v>
      </c>
      <c r="Q412" s="8" t="str">
        <f t="shared" si="13"/>
        <v>Valid</v>
      </c>
    </row>
    <row r="413" spans="1:17" ht="13.8">
      <c r="A413" s="8" t="s">
        <v>457</v>
      </c>
      <c r="B413" s="8" t="s">
        <v>51</v>
      </c>
      <c r="C413" s="8" t="s">
        <v>17</v>
      </c>
      <c r="D413" s="7">
        <v>45749</v>
      </c>
      <c r="E413" s="7">
        <v>45672</v>
      </c>
      <c r="F413" s="8">
        <v>3502</v>
      </c>
      <c r="G413" s="8" t="s">
        <v>18</v>
      </c>
      <c r="H413" s="8" t="s">
        <v>19</v>
      </c>
      <c r="I413" s="7">
        <v>45844</v>
      </c>
      <c r="J413" s="8" t="s">
        <v>20</v>
      </c>
      <c r="K413" s="8" t="s">
        <v>43</v>
      </c>
      <c r="L413" s="8" t="s">
        <v>27</v>
      </c>
      <c r="M413" s="8" t="s">
        <v>45</v>
      </c>
      <c r="N413" s="8">
        <v>61</v>
      </c>
      <c r="O413" s="8" t="s">
        <v>52</v>
      </c>
      <c r="P413" s="8" t="str">
        <f t="shared" si="12"/>
        <v>not valid</v>
      </c>
      <c r="Q413" s="8" t="str">
        <f t="shared" si="13"/>
        <v>Valid</v>
      </c>
    </row>
    <row r="414" spans="1:17" ht="13.8">
      <c r="A414" s="8" t="s">
        <v>458</v>
      </c>
      <c r="B414" s="8" t="s">
        <v>38</v>
      </c>
      <c r="C414" s="8" t="s">
        <v>39</v>
      </c>
      <c r="D414" s="7">
        <v>45695</v>
      </c>
      <c r="E414" s="7">
        <v>45695</v>
      </c>
      <c r="F414" s="8">
        <v>0</v>
      </c>
      <c r="G414" s="8" t="s">
        <v>48</v>
      </c>
      <c r="H414" s="8" t="s">
        <v>35</v>
      </c>
      <c r="I414" s="8" t="s">
        <v>546</v>
      </c>
      <c r="J414" s="8" t="s">
        <v>20</v>
      </c>
      <c r="K414" s="8" t="s">
        <v>43</v>
      </c>
      <c r="L414" s="8" t="s">
        <v>41</v>
      </c>
      <c r="M414" s="8" t="s">
        <v>32</v>
      </c>
      <c r="N414" s="8">
        <v>93</v>
      </c>
      <c r="O414" s="8" t="s">
        <v>52</v>
      </c>
      <c r="P414" s="8" t="str">
        <f t="shared" si="12"/>
        <v>Valid</v>
      </c>
      <c r="Q414" s="8" t="str">
        <f t="shared" si="13"/>
        <v>Valid</v>
      </c>
    </row>
    <row r="415" spans="1:17" ht="13.8">
      <c r="A415" s="8" t="s">
        <v>459</v>
      </c>
      <c r="B415" s="8" t="s">
        <v>16</v>
      </c>
      <c r="C415" s="8" t="s">
        <v>17</v>
      </c>
      <c r="D415" s="7">
        <v>45849</v>
      </c>
      <c r="E415" s="7">
        <v>45781</v>
      </c>
      <c r="F415" s="8">
        <v>2117</v>
      </c>
      <c r="G415" s="8" t="s">
        <v>34</v>
      </c>
      <c r="H415" s="8" t="s">
        <v>29</v>
      </c>
      <c r="I415" s="7">
        <v>45664</v>
      </c>
      <c r="J415" s="8" t="s">
        <v>20</v>
      </c>
      <c r="K415" s="8" t="s">
        <v>31</v>
      </c>
      <c r="L415" s="8" t="s">
        <v>548</v>
      </c>
      <c r="M415" s="8" t="s">
        <v>32</v>
      </c>
      <c r="N415" s="8">
        <v>41</v>
      </c>
      <c r="O415" s="8" t="s">
        <v>24</v>
      </c>
      <c r="P415" s="8" t="str">
        <f t="shared" si="12"/>
        <v>not valid</v>
      </c>
      <c r="Q415" s="8" t="str">
        <f t="shared" si="13"/>
        <v>Not valid</v>
      </c>
    </row>
    <row r="416" spans="1:17" ht="13.8">
      <c r="A416" s="8" t="s">
        <v>460</v>
      </c>
      <c r="B416" s="8" t="s">
        <v>38</v>
      </c>
      <c r="C416" s="8" t="s">
        <v>17</v>
      </c>
      <c r="D416" s="7">
        <v>45854</v>
      </c>
      <c r="E416" s="7">
        <v>45795</v>
      </c>
      <c r="F416" s="8">
        <v>3234</v>
      </c>
      <c r="G416" s="8" t="s">
        <v>48</v>
      </c>
      <c r="H416" s="8" t="s">
        <v>49</v>
      </c>
      <c r="I416" s="7">
        <v>45862</v>
      </c>
      <c r="J416" s="8" t="s">
        <v>30</v>
      </c>
      <c r="K416" s="8" t="s">
        <v>40</v>
      </c>
      <c r="L416" s="8" t="s">
        <v>547</v>
      </c>
      <c r="M416" s="8" t="s">
        <v>23</v>
      </c>
      <c r="N416" s="8">
        <v>34</v>
      </c>
      <c r="O416" s="8" t="s">
        <v>46</v>
      </c>
      <c r="P416" s="8" t="str">
        <f t="shared" si="12"/>
        <v>not valid</v>
      </c>
      <c r="Q416" s="8" t="str">
        <f t="shared" si="13"/>
        <v>Valid</v>
      </c>
    </row>
    <row r="417" spans="1:17" ht="13.8">
      <c r="A417" s="8" t="s">
        <v>461</v>
      </c>
      <c r="B417" s="8" t="s">
        <v>38</v>
      </c>
      <c r="C417" s="8" t="s">
        <v>39</v>
      </c>
      <c r="D417" s="7">
        <v>45836</v>
      </c>
      <c r="E417" s="7">
        <v>45836</v>
      </c>
      <c r="F417" s="8">
        <v>0</v>
      </c>
      <c r="G417" s="8" t="s">
        <v>34</v>
      </c>
      <c r="H417" s="8" t="s">
        <v>29</v>
      </c>
      <c r="I417" s="8" t="s">
        <v>546</v>
      </c>
      <c r="J417" s="8" t="s">
        <v>30</v>
      </c>
      <c r="K417" s="8" t="s">
        <v>31</v>
      </c>
      <c r="L417" s="8" t="s">
        <v>22</v>
      </c>
      <c r="M417" s="8" t="s">
        <v>36</v>
      </c>
      <c r="N417" s="8">
        <v>87</v>
      </c>
      <c r="O417" s="8" t="s">
        <v>46</v>
      </c>
      <c r="P417" s="8" t="str">
        <f t="shared" si="12"/>
        <v>Valid</v>
      </c>
      <c r="Q417" s="8" t="str">
        <f t="shared" si="13"/>
        <v>Valid</v>
      </c>
    </row>
    <row r="418" spans="1:17" ht="13.8">
      <c r="A418" s="8" t="s">
        <v>462</v>
      </c>
      <c r="B418" s="8" t="s">
        <v>26</v>
      </c>
      <c r="C418" s="8" t="s">
        <v>27</v>
      </c>
      <c r="D418" s="7">
        <v>45821</v>
      </c>
      <c r="E418" s="7">
        <v>45774</v>
      </c>
      <c r="F418" s="8">
        <v>0</v>
      </c>
      <c r="G418" s="8" t="s">
        <v>48</v>
      </c>
      <c r="H418" s="8" t="s">
        <v>29</v>
      </c>
      <c r="I418" s="8" t="s">
        <v>546</v>
      </c>
      <c r="J418" s="8" t="s">
        <v>20</v>
      </c>
      <c r="K418" s="8" t="s">
        <v>40</v>
      </c>
      <c r="L418" s="8" t="s">
        <v>22</v>
      </c>
      <c r="M418" s="8" t="s">
        <v>23</v>
      </c>
      <c r="N418" s="8">
        <v>94</v>
      </c>
      <c r="O418" s="8" t="s">
        <v>52</v>
      </c>
      <c r="P418" s="8" t="str">
        <f t="shared" si="12"/>
        <v>not valid</v>
      </c>
      <c r="Q418" s="8" t="str">
        <f t="shared" si="13"/>
        <v>Valid</v>
      </c>
    </row>
    <row r="419" spans="1:17" ht="13.8">
      <c r="A419" s="8" t="s">
        <v>463</v>
      </c>
      <c r="B419" s="8" t="s">
        <v>38</v>
      </c>
      <c r="C419" s="8" t="s">
        <v>17</v>
      </c>
      <c r="D419" s="7">
        <v>45754</v>
      </c>
      <c r="E419" s="7">
        <v>45801</v>
      </c>
      <c r="F419" s="8">
        <v>2449</v>
      </c>
      <c r="G419" s="8" t="s">
        <v>34</v>
      </c>
      <c r="H419" s="8" t="s">
        <v>29</v>
      </c>
      <c r="I419" s="7">
        <v>45881</v>
      </c>
      <c r="J419" s="8" t="s">
        <v>30</v>
      </c>
      <c r="K419" s="8" t="s">
        <v>31</v>
      </c>
      <c r="L419" s="8" t="s">
        <v>547</v>
      </c>
      <c r="M419" s="8" t="s">
        <v>32</v>
      </c>
      <c r="N419" s="8">
        <v>64</v>
      </c>
      <c r="O419" s="8" t="s">
        <v>24</v>
      </c>
      <c r="P419" s="8" t="str">
        <f t="shared" si="12"/>
        <v>Valid</v>
      </c>
      <c r="Q419" s="8" t="str">
        <f t="shared" si="13"/>
        <v>Valid</v>
      </c>
    </row>
    <row r="420" spans="1:17" ht="13.8">
      <c r="A420" s="8" t="s">
        <v>464</v>
      </c>
      <c r="B420" s="8" t="s">
        <v>51</v>
      </c>
      <c r="C420" s="8" t="s">
        <v>17</v>
      </c>
      <c r="D420" s="7">
        <v>45924</v>
      </c>
      <c r="E420" s="7">
        <v>45715</v>
      </c>
      <c r="F420" s="8">
        <v>2657</v>
      </c>
      <c r="G420" s="8" t="s">
        <v>18</v>
      </c>
      <c r="H420" s="8" t="s">
        <v>29</v>
      </c>
      <c r="I420" s="7">
        <v>45787</v>
      </c>
      <c r="J420" s="8" t="s">
        <v>20</v>
      </c>
      <c r="K420" s="8" t="s">
        <v>43</v>
      </c>
      <c r="L420" s="8" t="s">
        <v>27</v>
      </c>
      <c r="M420" s="8" t="s">
        <v>23</v>
      </c>
      <c r="N420" s="8">
        <v>64</v>
      </c>
      <c r="O420" s="8" t="s">
        <v>52</v>
      </c>
      <c r="P420" s="8" t="str">
        <f t="shared" si="12"/>
        <v>not valid</v>
      </c>
      <c r="Q420" s="8" t="str">
        <f t="shared" si="13"/>
        <v>Not valid</v>
      </c>
    </row>
    <row r="421" spans="1:17" ht="13.8">
      <c r="A421" s="8" t="s">
        <v>465</v>
      </c>
      <c r="B421" s="8" t="s">
        <v>16</v>
      </c>
      <c r="C421" s="8" t="s">
        <v>39</v>
      </c>
      <c r="D421" s="7">
        <v>45679</v>
      </c>
      <c r="E421" s="7">
        <v>45679</v>
      </c>
      <c r="F421" s="8">
        <v>0</v>
      </c>
      <c r="G421" s="8" t="s">
        <v>18</v>
      </c>
      <c r="H421" s="8" t="s">
        <v>35</v>
      </c>
      <c r="I421" s="8" t="s">
        <v>546</v>
      </c>
      <c r="J421" s="8" t="s">
        <v>30</v>
      </c>
      <c r="K421" s="8" t="s">
        <v>40</v>
      </c>
      <c r="L421" s="8" t="s">
        <v>44</v>
      </c>
      <c r="M421" s="8" t="s">
        <v>23</v>
      </c>
      <c r="N421" s="8">
        <v>33</v>
      </c>
      <c r="O421" s="8" t="s">
        <v>24</v>
      </c>
      <c r="P421" s="8" t="str">
        <f t="shared" si="12"/>
        <v>Valid</v>
      </c>
      <c r="Q421" s="8" t="str">
        <f t="shared" si="13"/>
        <v>Valid</v>
      </c>
    </row>
    <row r="422" spans="1:17" ht="13.8">
      <c r="A422" s="8" t="s">
        <v>466</v>
      </c>
      <c r="B422" s="8" t="s">
        <v>26</v>
      </c>
      <c r="C422" s="8" t="s">
        <v>39</v>
      </c>
      <c r="D422" s="7">
        <v>45859</v>
      </c>
      <c r="E422" s="7">
        <v>45859</v>
      </c>
      <c r="F422" s="8">
        <v>0</v>
      </c>
      <c r="G422" s="8" t="s">
        <v>48</v>
      </c>
      <c r="H422" s="8" t="s">
        <v>35</v>
      </c>
      <c r="I422" s="8" t="s">
        <v>546</v>
      </c>
      <c r="J422" s="8" t="s">
        <v>30</v>
      </c>
      <c r="K422" s="8" t="s">
        <v>31</v>
      </c>
      <c r="L422" s="8" t="s">
        <v>27</v>
      </c>
      <c r="M422" s="8" t="s">
        <v>32</v>
      </c>
      <c r="N422" s="8">
        <v>53</v>
      </c>
      <c r="O422" s="8" t="s">
        <v>24</v>
      </c>
      <c r="P422" s="8" t="str">
        <f t="shared" si="12"/>
        <v>Valid</v>
      </c>
      <c r="Q422" s="8" t="str">
        <f t="shared" si="13"/>
        <v>Valid</v>
      </c>
    </row>
    <row r="423" spans="1:17" ht="13.8">
      <c r="A423" s="8" t="s">
        <v>467</v>
      </c>
      <c r="B423" s="8" t="s">
        <v>51</v>
      </c>
      <c r="C423" s="8" t="s">
        <v>17</v>
      </c>
      <c r="D423" s="7">
        <v>45929</v>
      </c>
      <c r="E423" s="7">
        <v>45848</v>
      </c>
      <c r="F423" s="8">
        <v>3529</v>
      </c>
      <c r="G423" s="8" t="s">
        <v>48</v>
      </c>
      <c r="H423" s="8" t="s">
        <v>29</v>
      </c>
      <c r="I423" s="7">
        <v>45756</v>
      </c>
      <c r="J423" s="8" t="s">
        <v>30</v>
      </c>
      <c r="K423" s="8" t="s">
        <v>40</v>
      </c>
      <c r="L423" s="8" t="s">
        <v>27</v>
      </c>
      <c r="M423" s="8" t="s">
        <v>23</v>
      </c>
      <c r="N423" s="8">
        <v>38</v>
      </c>
      <c r="O423" s="8" t="s">
        <v>52</v>
      </c>
      <c r="P423" s="8" t="str">
        <f t="shared" si="12"/>
        <v>not valid</v>
      </c>
      <c r="Q423" s="8" t="str">
        <f t="shared" si="13"/>
        <v>Not valid</v>
      </c>
    </row>
    <row r="424" spans="1:17" ht="13.8">
      <c r="A424" s="8" t="s">
        <v>468</v>
      </c>
      <c r="B424" s="8" t="s">
        <v>26</v>
      </c>
      <c r="C424" s="8" t="s">
        <v>39</v>
      </c>
      <c r="D424" s="9">
        <v>45943</v>
      </c>
      <c r="E424" s="9">
        <v>45943</v>
      </c>
      <c r="F424" s="8">
        <v>0</v>
      </c>
      <c r="G424" s="8" t="s">
        <v>28</v>
      </c>
      <c r="H424" s="8" t="s">
        <v>19</v>
      </c>
      <c r="I424" s="8" t="s">
        <v>546</v>
      </c>
      <c r="J424" s="8" t="s">
        <v>20</v>
      </c>
      <c r="K424" s="8" t="s">
        <v>43</v>
      </c>
      <c r="L424" s="8" t="s">
        <v>44</v>
      </c>
      <c r="M424" s="8" t="s">
        <v>36</v>
      </c>
      <c r="N424" s="8">
        <v>76</v>
      </c>
      <c r="O424" s="8" t="s">
        <v>52</v>
      </c>
      <c r="P424" s="8" t="str">
        <f t="shared" si="12"/>
        <v>Valid</v>
      </c>
      <c r="Q424" s="8" t="str">
        <f t="shared" si="13"/>
        <v>Valid</v>
      </c>
    </row>
    <row r="425" spans="1:17" ht="13.8">
      <c r="A425" s="8" t="s">
        <v>469</v>
      </c>
      <c r="B425" s="8" t="s">
        <v>51</v>
      </c>
      <c r="C425" s="8" t="s">
        <v>17</v>
      </c>
      <c r="D425" s="7">
        <v>45866</v>
      </c>
      <c r="E425" s="7">
        <v>45747</v>
      </c>
      <c r="F425" s="8">
        <v>4422</v>
      </c>
      <c r="G425" s="8" t="s">
        <v>18</v>
      </c>
      <c r="H425" s="8" t="s">
        <v>35</v>
      </c>
      <c r="I425" s="7">
        <v>45869</v>
      </c>
      <c r="J425" s="8" t="s">
        <v>20</v>
      </c>
      <c r="K425" s="8" t="s">
        <v>21</v>
      </c>
      <c r="L425" s="8" t="s">
        <v>547</v>
      </c>
      <c r="M425" s="8" t="s">
        <v>36</v>
      </c>
      <c r="N425" s="8">
        <v>40</v>
      </c>
      <c r="O425" s="8" t="s">
        <v>52</v>
      </c>
      <c r="P425" s="8" t="str">
        <f t="shared" si="12"/>
        <v>not valid</v>
      </c>
      <c r="Q425" s="8" t="str">
        <f t="shared" si="13"/>
        <v>Valid</v>
      </c>
    </row>
    <row r="426" spans="1:17" ht="13.8">
      <c r="A426" s="8" t="s">
        <v>470</v>
      </c>
      <c r="B426" s="8" t="s">
        <v>51</v>
      </c>
      <c r="C426" s="8" t="s">
        <v>27</v>
      </c>
      <c r="D426" s="7">
        <v>45919</v>
      </c>
      <c r="E426" s="7">
        <v>45718</v>
      </c>
      <c r="F426" s="8">
        <v>0</v>
      </c>
      <c r="G426" s="8" t="s">
        <v>28</v>
      </c>
      <c r="H426" s="8" t="s">
        <v>49</v>
      </c>
      <c r="I426" s="8" t="s">
        <v>546</v>
      </c>
      <c r="J426" s="8" t="s">
        <v>20</v>
      </c>
      <c r="K426" s="8" t="s">
        <v>40</v>
      </c>
      <c r="L426" s="8" t="s">
        <v>44</v>
      </c>
      <c r="M426" s="8" t="s">
        <v>23</v>
      </c>
      <c r="N426" s="8">
        <v>35</v>
      </c>
      <c r="O426" s="8" t="s">
        <v>52</v>
      </c>
      <c r="P426" s="8" t="str">
        <f t="shared" si="12"/>
        <v>not valid</v>
      </c>
      <c r="Q426" s="8" t="str">
        <f t="shared" si="13"/>
        <v>Valid</v>
      </c>
    </row>
    <row r="427" spans="1:17" ht="13.8">
      <c r="A427" s="8" t="s">
        <v>471</v>
      </c>
      <c r="B427" s="8" t="s">
        <v>51</v>
      </c>
      <c r="C427" s="8" t="s">
        <v>27</v>
      </c>
      <c r="D427" s="7">
        <v>45775</v>
      </c>
      <c r="E427" s="7">
        <v>45823</v>
      </c>
      <c r="F427" s="8">
        <v>0</v>
      </c>
      <c r="G427" s="8" t="s">
        <v>34</v>
      </c>
      <c r="H427" s="8" t="s">
        <v>49</v>
      </c>
      <c r="I427" s="8" t="s">
        <v>546</v>
      </c>
      <c r="J427" s="8" t="s">
        <v>30</v>
      </c>
      <c r="K427" s="8" t="s">
        <v>43</v>
      </c>
      <c r="L427" s="8" t="s">
        <v>41</v>
      </c>
      <c r="M427" s="8" t="s">
        <v>45</v>
      </c>
      <c r="N427" s="8">
        <v>87</v>
      </c>
      <c r="O427" s="8" t="s">
        <v>24</v>
      </c>
      <c r="P427" s="8" t="str">
        <f t="shared" si="12"/>
        <v>Valid</v>
      </c>
      <c r="Q427" s="8" t="str">
        <f t="shared" si="13"/>
        <v>Valid</v>
      </c>
    </row>
    <row r="428" spans="1:17" ht="13.8">
      <c r="A428" s="8" t="s">
        <v>472</v>
      </c>
      <c r="B428" s="8" t="s">
        <v>16</v>
      </c>
      <c r="C428" s="8" t="s">
        <v>17</v>
      </c>
      <c r="D428" s="7">
        <v>45675</v>
      </c>
      <c r="E428" s="7">
        <v>45660</v>
      </c>
      <c r="F428" s="8">
        <v>4336</v>
      </c>
      <c r="G428" s="8" t="s">
        <v>18</v>
      </c>
      <c r="H428" s="8" t="s">
        <v>49</v>
      </c>
      <c r="I428" s="7">
        <v>45860</v>
      </c>
      <c r="J428" s="8" t="s">
        <v>30</v>
      </c>
      <c r="K428" s="8" t="s">
        <v>43</v>
      </c>
      <c r="L428" s="8" t="s">
        <v>22</v>
      </c>
      <c r="M428" s="8" t="s">
        <v>45</v>
      </c>
      <c r="N428" s="8">
        <v>41</v>
      </c>
      <c r="O428" s="8" t="s">
        <v>46</v>
      </c>
      <c r="P428" s="8" t="str">
        <f t="shared" si="12"/>
        <v>not valid</v>
      </c>
      <c r="Q428" s="8" t="str">
        <f t="shared" si="13"/>
        <v>Valid</v>
      </c>
    </row>
    <row r="429" spans="1:17" ht="13.8">
      <c r="A429" s="8" t="s">
        <v>473</v>
      </c>
      <c r="B429" s="8" t="s">
        <v>16</v>
      </c>
      <c r="C429" s="8" t="s">
        <v>39</v>
      </c>
      <c r="D429" s="7">
        <v>45723</v>
      </c>
      <c r="E429" s="7">
        <v>45723</v>
      </c>
      <c r="F429" s="8">
        <v>0</v>
      </c>
      <c r="G429" s="8" t="s">
        <v>18</v>
      </c>
      <c r="H429" s="8" t="s">
        <v>49</v>
      </c>
      <c r="I429" s="8" t="s">
        <v>546</v>
      </c>
      <c r="J429" s="8" t="s">
        <v>20</v>
      </c>
      <c r="K429" s="8" t="s">
        <v>40</v>
      </c>
      <c r="L429" s="8" t="s">
        <v>22</v>
      </c>
      <c r="M429" s="8" t="s">
        <v>23</v>
      </c>
      <c r="N429" s="8">
        <v>91</v>
      </c>
      <c r="O429" s="8" t="s">
        <v>24</v>
      </c>
      <c r="P429" s="8" t="str">
        <f t="shared" si="12"/>
        <v>Valid</v>
      </c>
      <c r="Q429" s="8" t="str">
        <f t="shared" si="13"/>
        <v>Valid</v>
      </c>
    </row>
    <row r="430" spans="1:17" ht="13.8">
      <c r="A430" s="8" t="s">
        <v>474</v>
      </c>
      <c r="B430" s="8" t="s">
        <v>26</v>
      </c>
      <c r="C430" s="8" t="s">
        <v>39</v>
      </c>
      <c r="D430" s="7">
        <v>45939</v>
      </c>
      <c r="E430" s="7">
        <v>45939</v>
      </c>
      <c r="F430" s="8">
        <v>0</v>
      </c>
      <c r="G430" s="8" t="s">
        <v>28</v>
      </c>
      <c r="H430" s="8" t="s">
        <v>29</v>
      </c>
      <c r="I430" s="8" t="s">
        <v>546</v>
      </c>
      <c r="J430" s="8" t="s">
        <v>30</v>
      </c>
      <c r="K430" s="8" t="s">
        <v>43</v>
      </c>
      <c r="L430" s="8" t="s">
        <v>41</v>
      </c>
      <c r="M430" s="8" t="s">
        <v>23</v>
      </c>
      <c r="N430" s="8">
        <v>47</v>
      </c>
      <c r="O430" s="8" t="s">
        <v>24</v>
      </c>
      <c r="P430" s="8" t="str">
        <f t="shared" si="12"/>
        <v>Valid</v>
      </c>
      <c r="Q430" s="8" t="str">
        <f t="shared" si="13"/>
        <v>Valid</v>
      </c>
    </row>
    <row r="431" spans="1:17" ht="13.8">
      <c r="A431" s="8" t="s">
        <v>475</v>
      </c>
      <c r="B431" s="8" t="s">
        <v>16</v>
      </c>
      <c r="C431" s="8" t="s">
        <v>39</v>
      </c>
      <c r="D431" s="7">
        <v>45787</v>
      </c>
      <c r="E431" s="7">
        <v>45787</v>
      </c>
      <c r="F431" s="8">
        <v>0</v>
      </c>
      <c r="G431" s="8" t="s">
        <v>18</v>
      </c>
      <c r="H431" s="8" t="s">
        <v>19</v>
      </c>
      <c r="I431" s="8" t="s">
        <v>546</v>
      </c>
      <c r="J431" s="8" t="s">
        <v>20</v>
      </c>
      <c r="K431" s="8" t="s">
        <v>21</v>
      </c>
      <c r="L431" s="8" t="s">
        <v>41</v>
      </c>
      <c r="M431" s="8" t="s">
        <v>36</v>
      </c>
      <c r="N431" s="8">
        <v>91</v>
      </c>
      <c r="O431" s="8" t="s">
        <v>46</v>
      </c>
      <c r="P431" s="8" t="str">
        <f t="shared" si="12"/>
        <v>Valid</v>
      </c>
      <c r="Q431" s="8" t="str">
        <f t="shared" si="13"/>
        <v>Valid</v>
      </c>
    </row>
    <row r="432" spans="1:17" ht="13.8">
      <c r="A432" s="8" t="s">
        <v>476</v>
      </c>
      <c r="B432" s="8" t="s">
        <v>16</v>
      </c>
      <c r="C432" s="8" t="s">
        <v>27</v>
      </c>
      <c r="D432" s="7">
        <v>45781</v>
      </c>
      <c r="E432" s="7">
        <v>45688</v>
      </c>
      <c r="F432" s="8">
        <v>0</v>
      </c>
      <c r="G432" s="8" t="s">
        <v>28</v>
      </c>
      <c r="H432" s="8" t="s">
        <v>19</v>
      </c>
      <c r="I432" s="8" t="s">
        <v>546</v>
      </c>
      <c r="J432" s="8" t="s">
        <v>30</v>
      </c>
      <c r="K432" s="8" t="s">
        <v>43</v>
      </c>
      <c r="L432" s="8" t="s">
        <v>41</v>
      </c>
      <c r="M432" s="8" t="s">
        <v>32</v>
      </c>
      <c r="N432" s="8">
        <v>69</v>
      </c>
      <c r="O432" s="8" t="s">
        <v>46</v>
      </c>
      <c r="P432" s="8" t="str">
        <f t="shared" si="12"/>
        <v>not valid</v>
      </c>
      <c r="Q432" s="8" t="str">
        <f t="shared" si="13"/>
        <v>Valid</v>
      </c>
    </row>
    <row r="433" spans="1:17" ht="13.8">
      <c r="A433" s="8" t="s">
        <v>477</v>
      </c>
      <c r="B433" s="8" t="s">
        <v>16</v>
      </c>
      <c r="C433" s="8" t="s">
        <v>17</v>
      </c>
      <c r="D433" s="7">
        <v>45835</v>
      </c>
      <c r="E433" s="9">
        <v>45944</v>
      </c>
      <c r="F433" s="8">
        <v>3031</v>
      </c>
      <c r="G433" s="8" t="s">
        <v>48</v>
      </c>
      <c r="H433" s="8" t="s">
        <v>19</v>
      </c>
      <c r="I433" s="7">
        <v>45748</v>
      </c>
      <c r="J433" s="8" t="s">
        <v>30</v>
      </c>
      <c r="K433" s="8" t="s">
        <v>43</v>
      </c>
      <c r="L433" s="8" t="s">
        <v>22</v>
      </c>
      <c r="M433" s="8" t="s">
        <v>32</v>
      </c>
      <c r="N433" s="8">
        <v>44</v>
      </c>
      <c r="O433" s="8" t="s">
        <v>24</v>
      </c>
      <c r="P433" s="8" t="str">
        <f t="shared" si="12"/>
        <v>Valid</v>
      </c>
      <c r="Q433" s="8" t="str">
        <f t="shared" si="13"/>
        <v>Not valid</v>
      </c>
    </row>
    <row r="434" spans="1:17" ht="13.8">
      <c r="A434" s="8" t="s">
        <v>478</v>
      </c>
      <c r="B434" s="8" t="s">
        <v>26</v>
      </c>
      <c r="C434" s="8" t="s">
        <v>39</v>
      </c>
      <c r="D434" s="7">
        <v>45904</v>
      </c>
      <c r="E434" s="7">
        <v>45904</v>
      </c>
      <c r="F434" s="8">
        <v>0</v>
      </c>
      <c r="G434" s="8" t="s">
        <v>28</v>
      </c>
      <c r="H434" s="8" t="s">
        <v>49</v>
      </c>
      <c r="I434" s="8" t="s">
        <v>546</v>
      </c>
      <c r="J434" s="8" t="s">
        <v>20</v>
      </c>
      <c r="K434" s="8" t="s">
        <v>40</v>
      </c>
      <c r="L434" s="8" t="s">
        <v>41</v>
      </c>
      <c r="M434" s="8" t="s">
        <v>32</v>
      </c>
      <c r="N434" s="8">
        <v>50</v>
      </c>
      <c r="O434" s="8" t="s">
        <v>46</v>
      </c>
      <c r="P434" s="8" t="str">
        <f t="shared" si="12"/>
        <v>Valid</v>
      </c>
      <c r="Q434" s="8" t="str">
        <f t="shared" si="13"/>
        <v>Valid</v>
      </c>
    </row>
    <row r="435" spans="1:17" ht="13.8">
      <c r="A435" s="8" t="s">
        <v>479</v>
      </c>
      <c r="B435" s="8" t="s">
        <v>16</v>
      </c>
      <c r="C435" s="8" t="s">
        <v>39</v>
      </c>
      <c r="D435" s="7">
        <v>45789</v>
      </c>
      <c r="E435" s="7">
        <v>45789</v>
      </c>
      <c r="F435" s="8">
        <v>0</v>
      </c>
      <c r="G435" s="8" t="s">
        <v>34</v>
      </c>
      <c r="H435" s="8" t="s">
        <v>19</v>
      </c>
      <c r="I435" s="8" t="s">
        <v>546</v>
      </c>
      <c r="J435" s="8" t="s">
        <v>20</v>
      </c>
      <c r="K435" s="8" t="s">
        <v>21</v>
      </c>
      <c r="L435" s="8" t="s">
        <v>22</v>
      </c>
      <c r="M435" s="8" t="s">
        <v>32</v>
      </c>
      <c r="N435" s="8">
        <v>31</v>
      </c>
      <c r="O435" s="8" t="s">
        <v>24</v>
      </c>
      <c r="P435" s="8" t="str">
        <f t="shared" si="12"/>
        <v>Valid</v>
      </c>
      <c r="Q435" s="8" t="str">
        <f t="shared" si="13"/>
        <v>Valid</v>
      </c>
    </row>
    <row r="436" spans="1:17" ht="13.8">
      <c r="A436" s="8" t="s">
        <v>480</v>
      </c>
      <c r="B436" s="8" t="s">
        <v>51</v>
      </c>
      <c r="C436" s="8" t="s">
        <v>27</v>
      </c>
      <c r="D436" s="7">
        <v>45814</v>
      </c>
      <c r="E436" s="7">
        <v>45727</v>
      </c>
      <c r="F436" s="8">
        <v>0</v>
      </c>
      <c r="G436" s="8" t="s">
        <v>48</v>
      </c>
      <c r="H436" s="8" t="s">
        <v>19</v>
      </c>
      <c r="I436" s="8" t="s">
        <v>546</v>
      </c>
      <c r="J436" s="8" t="s">
        <v>30</v>
      </c>
      <c r="K436" s="8" t="s">
        <v>21</v>
      </c>
      <c r="L436" s="8" t="s">
        <v>41</v>
      </c>
      <c r="M436" s="8" t="s">
        <v>23</v>
      </c>
      <c r="N436" s="8">
        <v>91</v>
      </c>
      <c r="O436" s="8" t="s">
        <v>46</v>
      </c>
      <c r="P436" s="8" t="str">
        <f t="shared" si="12"/>
        <v>not valid</v>
      </c>
      <c r="Q436" s="8" t="str">
        <f t="shared" si="13"/>
        <v>Valid</v>
      </c>
    </row>
    <row r="437" spans="1:17" ht="13.8">
      <c r="A437" s="8" t="s">
        <v>481</v>
      </c>
      <c r="B437" s="8" t="s">
        <v>26</v>
      </c>
      <c r="C437" s="8" t="s">
        <v>17</v>
      </c>
      <c r="D437" s="7">
        <v>45919</v>
      </c>
      <c r="E437" s="7">
        <v>45697</v>
      </c>
      <c r="F437" s="8">
        <v>3988</v>
      </c>
      <c r="G437" s="8" t="s">
        <v>28</v>
      </c>
      <c r="H437" s="8" t="s">
        <v>35</v>
      </c>
      <c r="I437" s="9">
        <v>45940</v>
      </c>
      <c r="J437" s="8" t="s">
        <v>30</v>
      </c>
      <c r="K437" s="8" t="s">
        <v>43</v>
      </c>
      <c r="L437" s="8" t="s">
        <v>27</v>
      </c>
      <c r="M437" s="8" t="s">
        <v>45</v>
      </c>
      <c r="N437" s="8">
        <v>62</v>
      </c>
      <c r="O437" s="8" t="s">
        <v>52</v>
      </c>
      <c r="P437" s="8" t="str">
        <f t="shared" si="12"/>
        <v>not valid</v>
      </c>
      <c r="Q437" s="8" t="str">
        <f t="shared" si="13"/>
        <v>Valid</v>
      </c>
    </row>
    <row r="438" spans="1:17" ht="13.8">
      <c r="A438" s="8" t="s">
        <v>482</v>
      </c>
      <c r="B438" s="8" t="s">
        <v>38</v>
      </c>
      <c r="C438" s="8" t="s">
        <v>39</v>
      </c>
      <c r="D438" s="7">
        <v>45663</v>
      </c>
      <c r="E438" s="7">
        <v>45663</v>
      </c>
      <c r="F438" s="8">
        <v>0</v>
      </c>
      <c r="G438" s="8" t="s">
        <v>34</v>
      </c>
      <c r="H438" s="8" t="s">
        <v>49</v>
      </c>
      <c r="I438" s="8" t="s">
        <v>546</v>
      </c>
      <c r="J438" s="8" t="s">
        <v>30</v>
      </c>
      <c r="K438" s="8" t="s">
        <v>31</v>
      </c>
      <c r="L438" s="8" t="s">
        <v>44</v>
      </c>
      <c r="M438" s="8" t="s">
        <v>32</v>
      </c>
      <c r="N438" s="8">
        <v>40</v>
      </c>
      <c r="O438" s="8" t="s">
        <v>52</v>
      </c>
      <c r="P438" s="8" t="str">
        <f t="shared" si="12"/>
        <v>Valid</v>
      </c>
      <c r="Q438" s="8" t="str">
        <f t="shared" si="13"/>
        <v>Valid</v>
      </c>
    </row>
    <row r="439" spans="1:17" ht="13.8">
      <c r="A439" s="8" t="s">
        <v>483</v>
      </c>
      <c r="B439" s="8" t="s">
        <v>26</v>
      </c>
      <c r="C439" s="8" t="s">
        <v>17</v>
      </c>
      <c r="D439" s="7">
        <v>45850</v>
      </c>
      <c r="E439" s="7">
        <v>45667</v>
      </c>
      <c r="F439" s="8">
        <v>3651</v>
      </c>
      <c r="G439" s="8" t="s">
        <v>18</v>
      </c>
      <c r="H439" s="8" t="s">
        <v>29</v>
      </c>
      <c r="I439" s="7">
        <v>45922</v>
      </c>
      <c r="J439" s="8" t="s">
        <v>20</v>
      </c>
      <c r="K439" s="8" t="s">
        <v>21</v>
      </c>
      <c r="L439" s="8" t="s">
        <v>548</v>
      </c>
      <c r="M439" s="8" t="s">
        <v>36</v>
      </c>
      <c r="N439" s="8">
        <v>35</v>
      </c>
      <c r="O439" s="8" t="s">
        <v>24</v>
      </c>
      <c r="P439" s="8" t="str">
        <f t="shared" si="12"/>
        <v>not valid</v>
      </c>
      <c r="Q439" s="8" t="str">
        <f t="shared" si="13"/>
        <v>Valid</v>
      </c>
    </row>
    <row r="440" spans="1:17" ht="13.8">
      <c r="A440" s="8" t="s">
        <v>484</v>
      </c>
      <c r="B440" s="8" t="s">
        <v>38</v>
      </c>
      <c r="C440" s="8" t="s">
        <v>27</v>
      </c>
      <c r="D440" s="7">
        <v>45862</v>
      </c>
      <c r="E440" s="7">
        <v>45737</v>
      </c>
      <c r="F440" s="8">
        <v>0</v>
      </c>
      <c r="G440" s="8" t="s">
        <v>48</v>
      </c>
      <c r="H440" s="8" t="s">
        <v>35</v>
      </c>
      <c r="I440" s="8" t="s">
        <v>546</v>
      </c>
      <c r="J440" s="8" t="s">
        <v>30</v>
      </c>
      <c r="K440" s="8" t="s">
        <v>31</v>
      </c>
      <c r="L440" s="8" t="s">
        <v>22</v>
      </c>
      <c r="M440" s="8" t="s">
        <v>32</v>
      </c>
      <c r="N440" s="8">
        <v>48</v>
      </c>
      <c r="O440" s="8" t="s">
        <v>46</v>
      </c>
      <c r="P440" s="8" t="str">
        <f t="shared" si="12"/>
        <v>not valid</v>
      </c>
      <c r="Q440" s="8" t="str">
        <f t="shared" si="13"/>
        <v>Valid</v>
      </c>
    </row>
    <row r="441" spans="1:17" ht="13.8">
      <c r="A441" s="8" t="s">
        <v>485</v>
      </c>
      <c r="B441" s="8" t="s">
        <v>16</v>
      </c>
      <c r="C441" s="8" t="s">
        <v>17</v>
      </c>
      <c r="D441" s="7">
        <v>45800</v>
      </c>
      <c r="E441" s="7">
        <v>45847</v>
      </c>
      <c r="F441" s="8">
        <v>4172</v>
      </c>
      <c r="G441" s="8" t="s">
        <v>34</v>
      </c>
      <c r="H441" s="8" t="s">
        <v>29</v>
      </c>
      <c r="I441" s="7">
        <v>45856</v>
      </c>
      <c r="J441" s="8" t="s">
        <v>20</v>
      </c>
      <c r="K441" s="8" t="s">
        <v>21</v>
      </c>
      <c r="L441" s="8" t="s">
        <v>22</v>
      </c>
      <c r="M441" s="8" t="s">
        <v>32</v>
      </c>
      <c r="N441" s="8">
        <v>46</v>
      </c>
      <c r="O441" s="8" t="s">
        <v>52</v>
      </c>
      <c r="P441" s="8" t="str">
        <f t="shared" si="12"/>
        <v>Valid</v>
      </c>
      <c r="Q441" s="8" t="str">
        <f t="shared" si="13"/>
        <v>Valid</v>
      </c>
    </row>
    <row r="442" spans="1:17" ht="13.8">
      <c r="A442" s="8" t="s">
        <v>486</v>
      </c>
      <c r="B442" s="8" t="s">
        <v>26</v>
      </c>
      <c r="C442" s="8" t="s">
        <v>17</v>
      </c>
      <c r="D442" s="7">
        <v>45754</v>
      </c>
      <c r="E442" s="7">
        <v>45848</v>
      </c>
      <c r="F442" s="8">
        <v>3922</v>
      </c>
      <c r="G442" s="8" t="s">
        <v>28</v>
      </c>
      <c r="H442" s="8" t="s">
        <v>49</v>
      </c>
      <c r="I442" s="7">
        <v>45841</v>
      </c>
      <c r="J442" s="8" t="s">
        <v>20</v>
      </c>
      <c r="K442" s="8" t="s">
        <v>21</v>
      </c>
      <c r="L442" s="8" t="s">
        <v>22</v>
      </c>
      <c r="M442" s="8" t="s">
        <v>45</v>
      </c>
      <c r="N442" s="8">
        <v>87</v>
      </c>
      <c r="O442" s="8" t="s">
        <v>52</v>
      </c>
      <c r="P442" s="8" t="str">
        <f t="shared" si="12"/>
        <v>Valid</v>
      </c>
      <c r="Q442" s="8" t="str">
        <f t="shared" si="13"/>
        <v>Valid</v>
      </c>
    </row>
    <row r="443" spans="1:17" ht="13.8">
      <c r="A443" s="8" t="s">
        <v>487</v>
      </c>
      <c r="B443" s="8" t="s">
        <v>38</v>
      </c>
      <c r="C443" s="8" t="s">
        <v>17</v>
      </c>
      <c r="D443" s="7">
        <v>45811</v>
      </c>
      <c r="E443" s="7">
        <v>45695</v>
      </c>
      <c r="F443" s="8">
        <v>3459</v>
      </c>
      <c r="G443" s="8" t="s">
        <v>48</v>
      </c>
      <c r="H443" s="8" t="s">
        <v>49</v>
      </c>
      <c r="I443" s="7">
        <v>45741</v>
      </c>
      <c r="J443" s="8" t="s">
        <v>30</v>
      </c>
      <c r="K443" s="8" t="s">
        <v>40</v>
      </c>
      <c r="L443" s="8" t="s">
        <v>548</v>
      </c>
      <c r="M443" s="8" t="s">
        <v>36</v>
      </c>
      <c r="N443" s="8">
        <v>49</v>
      </c>
      <c r="O443" s="8" t="s">
        <v>46</v>
      </c>
      <c r="P443" s="8" t="str">
        <f t="shared" si="12"/>
        <v>not valid</v>
      </c>
      <c r="Q443" s="8" t="str">
        <f t="shared" si="13"/>
        <v>Not valid</v>
      </c>
    </row>
    <row r="444" spans="1:17" ht="13.8">
      <c r="A444" s="8" t="s">
        <v>488</v>
      </c>
      <c r="B444" s="8" t="s">
        <v>16</v>
      </c>
      <c r="C444" s="8" t="s">
        <v>27</v>
      </c>
      <c r="D444" s="7">
        <v>45906</v>
      </c>
      <c r="E444" s="7">
        <v>45747</v>
      </c>
      <c r="F444" s="8">
        <v>0</v>
      </c>
      <c r="G444" s="8" t="s">
        <v>28</v>
      </c>
      <c r="H444" s="8" t="s">
        <v>49</v>
      </c>
      <c r="I444" s="8" t="s">
        <v>546</v>
      </c>
      <c r="J444" s="8" t="s">
        <v>20</v>
      </c>
      <c r="K444" s="8" t="s">
        <v>43</v>
      </c>
      <c r="L444" s="8" t="s">
        <v>22</v>
      </c>
      <c r="M444" s="8" t="s">
        <v>23</v>
      </c>
      <c r="N444" s="8">
        <v>94</v>
      </c>
      <c r="O444" s="8" t="s">
        <v>24</v>
      </c>
      <c r="P444" s="8" t="str">
        <f t="shared" si="12"/>
        <v>not valid</v>
      </c>
      <c r="Q444" s="8" t="str">
        <f t="shared" si="13"/>
        <v>Valid</v>
      </c>
    </row>
    <row r="445" spans="1:17" ht="13.8">
      <c r="A445" s="8" t="s">
        <v>489</v>
      </c>
      <c r="B445" s="8" t="s">
        <v>26</v>
      </c>
      <c r="C445" s="8" t="s">
        <v>39</v>
      </c>
      <c r="D445" s="7">
        <v>45729</v>
      </c>
      <c r="E445" s="7">
        <v>45729</v>
      </c>
      <c r="F445" s="8">
        <v>0</v>
      </c>
      <c r="G445" s="8" t="s">
        <v>28</v>
      </c>
      <c r="H445" s="8" t="s">
        <v>19</v>
      </c>
      <c r="I445" s="8" t="s">
        <v>546</v>
      </c>
      <c r="J445" s="8" t="s">
        <v>30</v>
      </c>
      <c r="K445" s="8" t="s">
        <v>43</v>
      </c>
      <c r="L445" s="8" t="s">
        <v>41</v>
      </c>
      <c r="M445" s="8" t="s">
        <v>36</v>
      </c>
      <c r="N445" s="8">
        <v>87</v>
      </c>
      <c r="O445" s="8" t="s">
        <v>24</v>
      </c>
      <c r="P445" s="8" t="str">
        <f t="shared" si="12"/>
        <v>Valid</v>
      </c>
      <c r="Q445" s="8" t="str">
        <f t="shared" si="13"/>
        <v>Valid</v>
      </c>
    </row>
    <row r="446" spans="1:17" ht="13.8">
      <c r="A446" s="8" t="s">
        <v>490</v>
      </c>
      <c r="B446" s="8" t="s">
        <v>26</v>
      </c>
      <c r="C446" s="8" t="s">
        <v>27</v>
      </c>
      <c r="D446" s="7">
        <v>45668</v>
      </c>
      <c r="E446" s="7">
        <v>45784</v>
      </c>
      <c r="F446" s="8">
        <v>0</v>
      </c>
      <c r="G446" s="8" t="s">
        <v>18</v>
      </c>
      <c r="H446" s="8" t="s">
        <v>35</v>
      </c>
      <c r="I446" s="8" t="s">
        <v>546</v>
      </c>
      <c r="J446" s="8" t="s">
        <v>30</v>
      </c>
      <c r="K446" s="8" t="s">
        <v>31</v>
      </c>
      <c r="L446" s="8" t="s">
        <v>41</v>
      </c>
      <c r="M446" s="8" t="s">
        <v>32</v>
      </c>
      <c r="N446" s="8">
        <v>67</v>
      </c>
      <c r="O446" s="8" t="s">
        <v>24</v>
      </c>
      <c r="P446" s="8" t="str">
        <f t="shared" si="12"/>
        <v>Valid</v>
      </c>
      <c r="Q446" s="8" t="str">
        <f t="shared" si="13"/>
        <v>Valid</v>
      </c>
    </row>
    <row r="447" spans="1:17" ht="13.8">
      <c r="A447" s="8" t="s">
        <v>491</v>
      </c>
      <c r="B447" s="8" t="s">
        <v>16</v>
      </c>
      <c r="C447" s="8" t="s">
        <v>39</v>
      </c>
      <c r="D447" s="7">
        <v>45835</v>
      </c>
      <c r="E447" s="7">
        <v>45835</v>
      </c>
      <c r="F447" s="8">
        <v>0</v>
      </c>
      <c r="G447" s="8" t="s">
        <v>28</v>
      </c>
      <c r="H447" s="8" t="s">
        <v>19</v>
      </c>
      <c r="I447" s="8" t="s">
        <v>546</v>
      </c>
      <c r="J447" s="8" t="s">
        <v>20</v>
      </c>
      <c r="K447" s="8" t="s">
        <v>31</v>
      </c>
      <c r="L447" s="8" t="s">
        <v>27</v>
      </c>
      <c r="M447" s="8" t="s">
        <v>32</v>
      </c>
      <c r="N447" s="8">
        <v>89</v>
      </c>
      <c r="O447" s="8" t="s">
        <v>46</v>
      </c>
      <c r="P447" s="8" t="str">
        <f t="shared" si="12"/>
        <v>Valid</v>
      </c>
      <c r="Q447" s="8" t="str">
        <f t="shared" si="13"/>
        <v>Valid</v>
      </c>
    </row>
    <row r="448" spans="1:17" ht="13.8">
      <c r="A448" s="8" t="s">
        <v>492</v>
      </c>
      <c r="B448" s="8" t="s">
        <v>38</v>
      </c>
      <c r="C448" s="8" t="s">
        <v>39</v>
      </c>
      <c r="D448" s="7">
        <v>45889</v>
      </c>
      <c r="E448" s="7">
        <v>45889</v>
      </c>
      <c r="F448" s="8">
        <v>0</v>
      </c>
      <c r="G448" s="8" t="s">
        <v>18</v>
      </c>
      <c r="H448" s="8" t="s">
        <v>29</v>
      </c>
      <c r="I448" s="8" t="s">
        <v>546</v>
      </c>
      <c r="J448" s="8" t="s">
        <v>20</v>
      </c>
      <c r="K448" s="8" t="s">
        <v>21</v>
      </c>
      <c r="L448" s="8" t="s">
        <v>27</v>
      </c>
      <c r="M448" s="8" t="s">
        <v>23</v>
      </c>
      <c r="N448" s="8">
        <v>59</v>
      </c>
      <c r="O448" s="8" t="s">
        <v>24</v>
      </c>
      <c r="P448" s="8" t="str">
        <f t="shared" si="12"/>
        <v>Valid</v>
      </c>
      <c r="Q448" s="8" t="str">
        <f t="shared" si="13"/>
        <v>Valid</v>
      </c>
    </row>
    <row r="449" spans="1:17" ht="13.8">
      <c r="A449" s="8" t="s">
        <v>493</v>
      </c>
      <c r="B449" s="8" t="s">
        <v>16</v>
      </c>
      <c r="C449" s="8" t="s">
        <v>39</v>
      </c>
      <c r="D449" s="7">
        <v>45888</v>
      </c>
      <c r="E449" s="7">
        <v>45888</v>
      </c>
      <c r="F449" s="8">
        <v>0</v>
      </c>
      <c r="G449" s="8" t="s">
        <v>18</v>
      </c>
      <c r="H449" s="8" t="s">
        <v>29</v>
      </c>
      <c r="I449" s="8" t="s">
        <v>546</v>
      </c>
      <c r="J449" s="8" t="s">
        <v>30</v>
      </c>
      <c r="K449" s="8" t="s">
        <v>40</v>
      </c>
      <c r="L449" s="8" t="s">
        <v>22</v>
      </c>
      <c r="M449" s="8" t="s">
        <v>32</v>
      </c>
      <c r="N449" s="8">
        <v>59</v>
      </c>
      <c r="O449" s="8" t="s">
        <v>46</v>
      </c>
      <c r="P449" s="8" t="str">
        <f t="shared" si="12"/>
        <v>Valid</v>
      </c>
      <c r="Q449" s="8" t="str">
        <f t="shared" si="13"/>
        <v>Valid</v>
      </c>
    </row>
    <row r="450" spans="1:17" ht="13.8">
      <c r="A450" s="8" t="s">
        <v>494</v>
      </c>
      <c r="B450" s="8" t="s">
        <v>51</v>
      </c>
      <c r="C450" s="8" t="s">
        <v>27</v>
      </c>
      <c r="D450" s="7">
        <v>45915</v>
      </c>
      <c r="E450" s="7">
        <v>45928</v>
      </c>
      <c r="F450" s="8">
        <v>0</v>
      </c>
      <c r="G450" s="8" t="s">
        <v>48</v>
      </c>
      <c r="H450" s="8" t="s">
        <v>35</v>
      </c>
      <c r="I450" s="8" t="s">
        <v>546</v>
      </c>
      <c r="J450" s="8" t="s">
        <v>30</v>
      </c>
      <c r="K450" s="8" t="s">
        <v>40</v>
      </c>
      <c r="L450" s="8" t="s">
        <v>27</v>
      </c>
      <c r="M450" s="8" t="s">
        <v>23</v>
      </c>
      <c r="N450" s="8">
        <v>44</v>
      </c>
      <c r="O450" s="8" t="s">
        <v>52</v>
      </c>
      <c r="P450" s="8" t="str">
        <f t="shared" ref="P450:P501" si="14">IF(OR(D450&lt;E450,D450=E450), "Valid","not valid")</f>
        <v>Valid</v>
      </c>
      <c r="Q450" s="8" t="str">
        <f t="shared" ref="Q450:Q501" si="15">IF(OR(D450 &lt;I450,D450=I450),"Valid","Not valid")</f>
        <v>Valid</v>
      </c>
    </row>
    <row r="451" spans="1:17" ht="13.8">
      <c r="A451" s="8" t="s">
        <v>495</v>
      </c>
      <c r="B451" s="8" t="s">
        <v>38</v>
      </c>
      <c r="C451" s="8" t="s">
        <v>27</v>
      </c>
      <c r="D451" s="7">
        <v>45802</v>
      </c>
      <c r="E451" s="7">
        <v>45863</v>
      </c>
      <c r="F451" s="8">
        <v>0</v>
      </c>
      <c r="G451" s="8" t="s">
        <v>34</v>
      </c>
      <c r="H451" s="8" t="s">
        <v>29</v>
      </c>
      <c r="I451" s="8" t="s">
        <v>546</v>
      </c>
      <c r="J451" s="8" t="s">
        <v>30</v>
      </c>
      <c r="K451" s="8" t="s">
        <v>43</v>
      </c>
      <c r="L451" s="8" t="s">
        <v>44</v>
      </c>
      <c r="M451" s="8" t="s">
        <v>36</v>
      </c>
      <c r="N451" s="8">
        <v>42</v>
      </c>
      <c r="O451" s="8" t="s">
        <v>52</v>
      </c>
      <c r="P451" s="8" t="str">
        <f t="shared" si="14"/>
        <v>Valid</v>
      </c>
      <c r="Q451" s="8" t="str">
        <f t="shared" si="15"/>
        <v>Valid</v>
      </c>
    </row>
    <row r="452" spans="1:17" ht="13.8">
      <c r="A452" s="8" t="s">
        <v>496</v>
      </c>
      <c r="B452" s="8" t="s">
        <v>26</v>
      </c>
      <c r="C452" s="8" t="s">
        <v>27</v>
      </c>
      <c r="D452" s="7">
        <v>45804</v>
      </c>
      <c r="E452" s="7">
        <v>45911</v>
      </c>
      <c r="F452" s="8">
        <v>0</v>
      </c>
      <c r="G452" s="8" t="s">
        <v>28</v>
      </c>
      <c r="H452" s="8" t="s">
        <v>19</v>
      </c>
      <c r="I452" s="8" t="s">
        <v>546</v>
      </c>
      <c r="J452" s="8" t="s">
        <v>20</v>
      </c>
      <c r="K452" s="8" t="s">
        <v>40</v>
      </c>
      <c r="L452" s="8" t="s">
        <v>22</v>
      </c>
      <c r="M452" s="8" t="s">
        <v>32</v>
      </c>
      <c r="N452" s="8">
        <v>50</v>
      </c>
      <c r="O452" s="8" t="s">
        <v>46</v>
      </c>
      <c r="P452" s="8" t="str">
        <f t="shared" si="14"/>
        <v>Valid</v>
      </c>
      <c r="Q452" s="8" t="str">
        <f t="shared" si="15"/>
        <v>Valid</v>
      </c>
    </row>
    <row r="453" spans="1:17" ht="13.8">
      <c r="A453" s="8" t="s">
        <v>497</v>
      </c>
      <c r="B453" s="8" t="s">
        <v>38</v>
      </c>
      <c r="C453" s="8" t="s">
        <v>39</v>
      </c>
      <c r="D453" s="7">
        <v>45687</v>
      </c>
      <c r="E453" s="7">
        <v>45687</v>
      </c>
      <c r="F453" s="8">
        <v>0</v>
      </c>
      <c r="G453" s="8" t="s">
        <v>48</v>
      </c>
      <c r="H453" s="8" t="s">
        <v>19</v>
      </c>
      <c r="I453" s="8" t="s">
        <v>546</v>
      </c>
      <c r="J453" s="8" t="s">
        <v>30</v>
      </c>
      <c r="K453" s="8" t="s">
        <v>31</v>
      </c>
      <c r="L453" s="8" t="s">
        <v>22</v>
      </c>
      <c r="M453" s="8" t="s">
        <v>32</v>
      </c>
      <c r="N453" s="8">
        <v>87</v>
      </c>
      <c r="O453" s="8" t="s">
        <v>52</v>
      </c>
      <c r="P453" s="8" t="str">
        <f t="shared" si="14"/>
        <v>Valid</v>
      </c>
      <c r="Q453" s="8" t="str">
        <f t="shared" si="15"/>
        <v>Valid</v>
      </c>
    </row>
    <row r="454" spans="1:17" ht="13.8">
      <c r="A454" s="8" t="s">
        <v>498</v>
      </c>
      <c r="B454" s="8" t="s">
        <v>16</v>
      </c>
      <c r="C454" s="8" t="s">
        <v>17</v>
      </c>
      <c r="D454" s="7">
        <v>45738</v>
      </c>
      <c r="E454" s="7">
        <v>45832</v>
      </c>
      <c r="F454" s="8">
        <v>4991</v>
      </c>
      <c r="G454" s="8" t="s">
        <v>18</v>
      </c>
      <c r="H454" s="8" t="s">
        <v>49</v>
      </c>
      <c r="I454" s="7">
        <v>45695</v>
      </c>
      <c r="J454" s="8" t="s">
        <v>20</v>
      </c>
      <c r="K454" s="8" t="s">
        <v>31</v>
      </c>
      <c r="L454" s="8" t="s">
        <v>548</v>
      </c>
      <c r="M454" s="8" t="s">
        <v>45</v>
      </c>
      <c r="N454" s="8">
        <v>75</v>
      </c>
      <c r="O454" s="8" t="s">
        <v>46</v>
      </c>
      <c r="P454" s="8" t="str">
        <f t="shared" si="14"/>
        <v>Valid</v>
      </c>
      <c r="Q454" s="8" t="str">
        <f t="shared" si="15"/>
        <v>Not valid</v>
      </c>
    </row>
    <row r="455" spans="1:17" ht="13.8">
      <c r="A455" s="8" t="s">
        <v>499</v>
      </c>
      <c r="B455" s="8" t="s">
        <v>16</v>
      </c>
      <c r="C455" s="8" t="s">
        <v>27</v>
      </c>
      <c r="D455" s="7">
        <v>45792</v>
      </c>
      <c r="E455" s="7">
        <v>45764</v>
      </c>
      <c r="F455" s="8">
        <v>0</v>
      </c>
      <c r="G455" s="8" t="s">
        <v>18</v>
      </c>
      <c r="H455" s="8" t="s">
        <v>49</v>
      </c>
      <c r="I455" s="8" t="s">
        <v>546</v>
      </c>
      <c r="J455" s="8" t="s">
        <v>20</v>
      </c>
      <c r="K455" s="8" t="s">
        <v>40</v>
      </c>
      <c r="L455" s="8" t="s">
        <v>41</v>
      </c>
      <c r="M455" s="8" t="s">
        <v>45</v>
      </c>
      <c r="N455" s="8">
        <v>38</v>
      </c>
      <c r="O455" s="8" t="s">
        <v>46</v>
      </c>
      <c r="P455" s="8" t="str">
        <f t="shared" si="14"/>
        <v>not valid</v>
      </c>
      <c r="Q455" s="8" t="str">
        <f t="shared" si="15"/>
        <v>Valid</v>
      </c>
    </row>
    <row r="456" spans="1:17" ht="13.8">
      <c r="A456" s="8" t="s">
        <v>500</v>
      </c>
      <c r="B456" s="8" t="s">
        <v>38</v>
      </c>
      <c r="C456" s="8" t="s">
        <v>27</v>
      </c>
      <c r="D456" s="7">
        <v>45904</v>
      </c>
      <c r="E456" s="7">
        <v>45774</v>
      </c>
      <c r="F456" s="8">
        <v>0</v>
      </c>
      <c r="G456" s="8" t="s">
        <v>34</v>
      </c>
      <c r="H456" s="8" t="s">
        <v>49</v>
      </c>
      <c r="I456" s="8" t="s">
        <v>546</v>
      </c>
      <c r="J456" s="8" t="s">
        <v>20</v>
      </c>
      <c r="K456" s="8" t="s">
        <v>31</v>
      </c>
      <c r="L456" s="8" t="s">
        <v>27</v>
      </c>
      <c r="M456" s="8" t="s">
        <v>23</v>
      </c>
      <c r="N456" s="8">
        <v>44</v>
      </c>
      <c r="O456" s="8" t="s">
        <v>24</v>
      </c>
      <c r="P456" s="8" t="str">
        <f t="shared" si="14"/>
        <v>not valid</v>
      </c>
      <c r="Q456" s="8" t="str">
        <f t="shared" si="15"/>
        <v>Valid</v>
      </c>
    </row>
    <row r="457" spans="1:17" ht="13.8">
      <c r="A457" s="8" t="s">
        <v>501</v>
      </c>
      <c r="B457" s="8" t="s">
        <v>16</v>
      </c>
      <c r="C457" s="8" t="s">
        <v>27</v>
      </c>
      <c r="D457" s="7">
        <v>45810</v>
      </c>
      <c r="E457" s="7">
        <v>45818</v>
      </c>
      <c r="F457" s="8">
        <v>0</v>
      </c>
      <c r="G457" s="8" t="s">
        <v>48</v>
      </c>
      <c r="H457" s="8" t="s">
        <v>29</v>
      </c>
      <c r="I457" s="8" t="s">
        <v>546</v>
      </c>
      <c r="J457" s="8" t="s">
        <v>30</v>
      </c>
      <c r="K457" s="8" t="s">
        <v>21</v>
      </c>
      <c r="L457" s="8" t="s">
        <v>27</v>
      </c>
      <c r="M457" s="8" t="s">
        <v>23</v>
      </c>
      <c r="N457" s="8">
        <v>64</v>
      </c>
      <c r="O457" s="8" t="s">
        <v>24</v>
      </c>
      <c r="P457" s="8" t="str">
        <f t="shared" si="14"/>
        <v>Valid</v>
      </c>
      <c r="Q457" s="8" t="str">
        <f t="shared" si="15"/>
        <v>Valid</v>
      </c>
    </row>
    <row r="458" spans="1:17" ht="13.8">
      <c r="A458" s="8" t="s">
        <v>502</v>
      </c>
      <c r="B458" s="8" t="s">
        <v>38</v>
      </c>
      <c r="C458" s="8" t="s">
        <v>27</v>
      </c>
      <c r="D458" s="7">
        <v>45925</v>
      </c>
      <c r="E458" s="7">
        <v>45916</v>
      </c>
      <c r="F458" s="8">
        <v>0</v>
      </c>
      <c r="G458" s="8" t="s">
        <v>28</v>
      </c>
      <c r="H458" s="8" t="s">
        <v>19</v>
      </c>
      <c r="I458" s="8" t="s">
        <v>546</v>
      </c>
      <c r="J458" s="8" t="s">
        <v>20</v>
      </c>
      <c r="K458" s="8" t="s">
        <v>43</v>
      </c>
      <c r="L458" s="8" t="s">
        <v>22</v>
      </c>
      <c r="M458" s="8" t="s">
        <v>45</v>
      </c>
      <c r="N458" s="8">
        <v>33</v>
      </c>
      <c r="O458" s="8" t="s">
        <v>52</v>
      </c>
      <c r="P458" s="8" t="str">
        <f t="shared" si="14"/>
        <v>not valid</v>
      </c>
      <c r="Q458" s="8" t="str">
        <f t="shared" si="15"/>
        <v>Valid</v>
      </c>
    </row>
    <row r="459" spans="1:17" ht="13.8">
      <c r="A459" s="8" t="s">
        <v>503</v>
      </c>
      <c r="B459" s="8" t="s">
        <v>16</v>
      </c>
      <c r="C459" s="8" t="s">
        <v>27</v>
      </c>
      <c r="D459" s="7">
        <v>45740</v>
      </c>
      <c r="E459" s="7">
        <v>45936</v>
      </c>
      <c r="F459" s="8">
        <v>0</v>
      </c>
      <c r="G459" s="8" t="s">
        <v>18</v>
      </c>
      <c r="H459" s="8" t="s">
        <v>29</v>
      </c>
      <c r="I459" s="8" t="s">
        <v>546</v>
      </c>
      <c r="J459" s="8" t="s">
        <v>30</v>
      </c>
      <c r="K459" s="8" t="s">
        <v>31</v>
      </c>
      <c r="L459" s="8" t="s">
        <v>44</v>
      </c>
      <c r="M459" s="8" t="s">
        <v>36</v>
      </c>
      <c r="N459" s="8">
        <v>40</v>
      </c>
      <c r="O459" s="8" t="s">
        <v>52</v>
      </c>
      <c r="P459" s="8" t="str">
        <f t="shared" si="14"/>
        <v>Valid</v>
      </c>
      <c r="Q459" s="8" t="str">
        <f t="shared" si="15"/>
        <v>Valid</v>
      </c>
    </row>
    <row r="460" spans="1:17" ht="13.8">
      <c r="A460" s="8" t="s">
        <v>504</v>
      </c>
      <c r="B460" s="8" t="s">
        <v>26</v>
      </c>
      <c r="C460" s="8" t="s">
        <v>27</v>
      </c>
      <c r="D460" s="7">
        <v>45815</v>
      </c>
      <c r="E460" s="7">
        <v>45759</v>
      </c>
      <c r="F460" s="8">
        <v>0</v>
      </c>
      <c r="G460" s="8" t="s">
        <v>18</v>
      </c>
      <c r="H460" s="8" t="s">
        <v>35</v>
      </c>
      <c r="I460" s="8" t="s">
        <v>546</v>
      </c>
      <c r="J460" s="8" t="s">
        <v>30</v>
      </c>
      <c r="K460" s="8" t="s">
        <v>40</v>
      </c>
      <c r="L460" s="8" t="s">
        <v>27</v>
      </c>
      <c r="M460" s="8" t="s">
        <v>32</v>
      </c>
      <c r="N460" s="8">
        <v>91</v>
      </c>
      <c r="O460" s="8" t="s">
        <v>24</v>
      </c>
      <c r="P460" s="8" t="str">
        <f t="shared" si="14"/>
        <v>not valid</v>
      </c>
      <c r="Q460" s="8" t="str">
        <f t="shared" si="15"/>
        <v>Valid</v>
      </c>
    </row>
    <row r="461" spans="1:17" ht="13.8">
      <c r="A461" s="8" t="s">
        <v>505</v>
      </c>
      <c r="B461" s="8" t="s">
        <v>38</v>
      </c>
      <c r="C461" s="8" t="s">
        <v>39</v>
      </c>
      <c r="D461" s="7">
        <v>45744</v>
      </c>
      <c r="E461" s="7">
        <v>45744</v>
      </c>
      <c r="F461" s="8">
        <v>0</v>
      </c>
      <c r="G461" s="8" t="s">
        <v>28</v>
      </c>
      <c r="H461" s="8" t="s">
        <v>29</v>
      </c>
      <c r="I461" s="8" t="s">
        <v>546</v>
      </c>
      <c r="J461" s="8" t="s">
        <v>20</v>
      </c>
      <c r="K461" s="8" t="s">
        <v>40</v>
      </c>
      <c r="L461" s="8" t="s">
        <v>41</v>
      </c>
      <c r="M461" s="8" t="s">
        <v>36</v>
      </c>
      <c r="N461" s="8">
        <v>59</v>
      </c>
      <c r="O461" s="8" t="s">
        <v>52</v>
      </c>
      <c r="P461" s="8" t="str">
        <f t="shared" si="14"/>
        <v>Valid</v>
      </c>
      <c r="Q461" s="8" t="str">
        <f t="shared" si="15"/>
        <v>Valid</v>
      </c>
    </row>
    <row r="462" spans="1:17" ht="13.8">
      <c r="A462" s="8" t="s">
        <v>506</v>
      </c>
      <c r="B462" s="8" t="s">
        <v>16</v>
      </c>
      <c r="C462" s="8" t="s">
        <v>27</v>
      </c>
      <c r="D462" s="7">
        <v>45926</v>
      </c>
      <c r="E462" s="7">
        <v>45760</v>
      </c>
      <c r="F462" s="8">
        <v>0</v>
      </c>
      <c r="G462" s="8" t="s">
        <v>18</v>
      </c>
      <c r="H462" s="8" t="s">
        <v>29</v>
      </c>
      <c r="I462" s="8" t="s">
        <v>546</v>
      </c>
      <c r="J462" s="8" t="s">
        <v>20</v>
      </c>
      <c r="K462" s="8" t="s">
        <v>40</v>
      </c>
      <c r="L462" s="8" t="s">
        <v>44</v>
      </c>
      <c r="M462" s="8" t="s">
        <v>45</v>
      </c>
      <c r="N462" s="8">
        <v>78</v>
      </c>
      <c r="O462" s="8" t="s">
        <v>24</v>
      </c>
      <c r="P462" s="8" t="str">
        <f t="shared" si="14"/>
        <v>not valid</v>
      </c>
      <c r="Q462" s="8" t="str">
        <f t="shared" si="15"/>
        <v>Valid</v>
      </c>
    </row>
    <row r="463" spans="1:17" ht="13.8">
      <c r="A463" s="8" t="s">
        <v>507</v>
      </c>
      <c r="B463" s="8" t="s">
        <v>38</v>
      </c>
      <c r="C463" s="8" t="s">
        <v>27</v>
      </c>
      <c r="D463" s="7">
        <v>45825</v>
      </c>
      <c r="E463" s="7">
        <v>45913</v>
      </c>
      <c r="F463" s="8">
        <v>0</v>
      </c>
      <c r="G463" s="8" t="s">
        <v>28</v>
      </c>
      <c r="H463" s="8" t="s">
        <v>29</v>
      </c>
      <c r="I463" s="8" t="s">
        <v>546</v>
      </c>
      <c r="J463" s="8" t="s">
        <v>20</v>
      </c>
      <c r="K463" s="8" t="s">
        <v>40</v>
      </c>
      <c r="L463" s="8" t="s">
        <v>27</v>
      </c>
      <c r="M463" s="8" t="s">
        <v>45</v>
      </c>
      <c r="N463" s="8">
        <v>33</v>
      </c>
      <c r="O463" s="8" t="s">
        <v>52</v>
      </c>
      <c r="P463" s="8" t="str">
        <f t="shared" si="14"/>
        <v>Valid</v>
      </c>
      <c r="Q463" s="8" t="str">
        <f t="shared" si="15"/>
        <v>Valid</v>
      </c>
    </row>
    <row r="464" spans="1:17" ht="13.8">
      <c r="A464" s="8" t="s">
        <v>508</v>
      </c>
      <c r="B464" s="8" t="s">
        <v>38</v>
      </c>
      <c r="C464" s="8" t="s">
        <v>39</v>
      </c>
      <c r="D464" s="7">
        <v>45861</v>
      </c>
      <c r="E464" s="7">
        <v>45861</v>
      </c>
      <c r="F464" s="8">
        <v>0</v>
      </c>
      <c r="G464" s="8" t="s">
        <v>18</v>
      </c>
      <c r="H464" s="8" t="s">
        <v>19</v>
      </c>
      <c r="I464" s="8" t="s">
        <v>546</v>
      </c>
      <c r="J464" s="8" t="s">
        <v>30</v>
      </c>
      <c r="K464" s="8" t="s">
        <v>21</v>
      </c>
      <c r="L464" s="8" t="s">
        <v>27</v>
      </c>
      <c r="M464" s="8" t="s">
        <v>45</v>
      </c>
      <c r="N464" s="8">
        <v>75</v>
      </c>
      <c r="O464" s="8" t="s">
        <v>24</v>
      </c>
      <c r="P464" s="8" t="str">
        <f t="shared" si="14"/>
        <v>Valid</v>
      </c>
      <c r="Q464" s="8" t="str">
        <f t="shared" si="15"/>
        <v>Valid</v>
      </c>
    </row>
    <row r="465" spans="1:17" ht="13.8">
      <c r="A465" s="8" t="s">
        <v>509</v>
      </c>
      <c r="B465" s="8" t="s">
        <v>26</v>
      </c>
      <c r="C465" s="8" t="s">
        <v>27</v>
      </c>
      <c r="D465" s="7">
        <v>45787</v>
      </c>
      <c r="E465" s="7">
        <v>45884</v>
      </c>
      <c r="F465" s="8">
        <v>0</v>
      </c>
      <c r="G465" s="8" t="s">
        <v>34</v>
      </c>
      <c r="H465" s="8" t="s">
        <v>49</v>
      </c>
      <c r="I465" s="8" t="s">
        <v>546</v>
      </c>
      <c r="J465" s="8" t="s">
        <v>30</v>
      </c>
      <c r="K465" s="8" t="s">
        <v>31</v>
      </c>
      <c r="L465" s="8" t="s">
        <v>27</v>
      </c>
      <c r="M465" s="8" t="s">
        <v>45</v>
      </c>
      <c r="N465" s="8">
        <v>65</v>
      </c>
      <c r="O465" s="8" t="s">
        <v>24</v>
      </c>
      <c r="P465" s="8" t="str">
        <f t="shared" si="14"/>
        <v>Valid</v>
      </c>
      <c r="Q465" s="8" t="str">
        <f t="shared" si="15"/>
        <v>Valid</v>
      </c>
    </row>
    <row r="466" spans="1:17" ht="13.8">
      <c r="A466" s="8" t="s">
        <v>510</v>
      </c>
      <c r="B466" s="8" t="s">
        <v>38</v>
      </c>
      <c r="C466" s="8" t="s">
        <v>39</v>
      </c>
      <c r="D466" s="9">
        <v>45941</v>
      </c>
      <c r="E466" s="9">
        <v>45941</v>
      </c>
      <c r="F466" s="8">
        <v>0</v>
      </c>
      <c r="G466" s="8" t="s">
        <v>48</v>
      </c>
      <c r="H466" s="8" t="s">
        <v>35</v>
      </c>
      <c r="I466" s="8" t="s">
        <v>546</v>
      </c>
      <c r="J466" s="8" t="s">
        <v>20</v>
      </c>
      <c r="K466" s="8" t="s">
        <v>40</v>
      </c>
      <c r="L466" s="8" t="s">
        <v>41</v>
      </c>
      <c r="M466" s="8" t="s">
        <v>23</v>
      </c>
      <c r="N466" s="8">
        <v>57</v>
      </c>
      <c r="O466" s="8" t="s">
        <v>46</v>
      </c>
      <c r="P466" s="8" t="str">
        <f t="shared" si="14"/>
        <v>Valid</v>
      </c>
      <c r="Q466" s="8" t="str">
        <f t="shared" si="15"/>
        <v>Valid</v>
      </c>
    </row>
    <row r="467" spans="1:17" ht="13.8">
      <c r="A467" s="8" t="s">
        <v>511</v>
      </c>
      <c r="B467" s="8" t="s">
        <v>16</v>
      </c>
      <c r="C467" s="8" t="s">
        <v>39</v>
      </c>
      <c r="D467" s="7">
        <v>45838</v>
      </c>
      <c r="E467" s="7">
        <v>45838</v>
      </c>
      <c r="F467" s="8">
        <v>0</v>
      </c>
      <c r="G467" s="8" t="s">
        <v>28</v>
      </c>
      <c r="H467" s="8" t="s">
        <v>49</v>
      </c>
      <c r="I467" s="8" t="s">
        <v>546</v>
      </c>
      <c r="J467" s="8" t="s">
        <v>30</v>
      </c>
      <c r="K467" s="8" t="s">
        <v>40</v>
      </c>
      <c r="L467" s="8" t="s">
        <v>22</v>
      </c>
      <c r="M467" s="8" t="s">
        <v>32</v>
      </c>
      <c r="N467" s="8">
        <v>32</v>
      </c>
      <c r="O467" s="8" t="s">
        <v>52</v>
      </c>
      <c r="P467" s="8" t="str">
        <f t="shared" si="14"/>
        <v>Valid</v>
      </c>
      <c r="Q467" s="8" t="str">
        <f t="shared" si="15"/>
        <v>Valid</v>
      </c>
    </row>
    <row r="468" spans="1:17" ht="13.8">
      <c r="A468" s="8" t="s">
        <v>512</v>
      </c>
      <c r="B468" s="8" t="s">
        <v>51</v>
      </c>
      <c r="C468" s="8" t="s">
        <v>27</v>
      </c>
      <c r="D468" s="7">
        <v>45726</v>
      </c>
      <c r="E468" s="7">
        <v>45934</v>
      </c>
      <c r="F468" s="8">
        <v>0</v>
      </c>
      <c r="G468" s="8" t="s">
        <v>48</v>
      </c>
      <c r="H468" s="8" t="s">
        <v>35</v>
      </c>
      <c r="I468" s="8" t="s">
        <v>546</v>
      </c>
      <c r="J468" s="8" t="s">
        <v>30</v>
      </c>
      <c r="K468" s="8" t="s">
        <v>21</v>
      </c>
      <c r="L468" s="8" t="s">
        <v>41</v>
      </c>
      <c r="M468" s="8" t="s">
        <v>45</v>
      </c>
      <c r="N468" s="8">
        <v>32</v>
      </c>
      <c r="O468" s="8" t="s">
        <v>46</v>
      </c>
      <c r="P468" s="8" t="str">
        <f t="shared" si="14"/>
        <v>Valid</v>
      </c>
      <c r="Q468" s="8" t="str">
        <f t="shared" si="15"/>
        <v>Valid</v>
      </c>
    </row>
    <row r="469" spans="1:17" ht="13.8">
      <c r="A469" s="8" t="s">
        <v>513</v>
      </c>
      <c r="B469" s="8" t="s">
        <v>26</v>
      </c>
      <c r="C469" s="8" t="s">
        <v>27</v>
      </c>
      <c r="D469" s="7">
        <v>45711</v>
      </c>
      <c r="E469" s="7">
        <v>45697</v>
      </c>
      <c r="F469" s="8">
        <v>0</v>
      </c>
      <c r="G469" s="8" t="s">
        <v>28</v>
      </c>
      <c r="H469" s="8" t="s">
        <v>49</v>
      </c>
      <c r="I469" s="8" t="s">
        <v>546</v>
      </c>
      <c r="J469" s="8" t="s">
        <v>20</v>
      </c>
      <c r="K469" s="8" t="s">
        <v>43</v>
      </c>
      <c r="L469" s="8" t="s">
        <v>22</v>
      </c>
      <c r="M469" s="8" t="s">
        <v>45</v>
      </c>
      <c r="N469" s="8">
        <v>53</v>
      </c>
      <c r="O469" s="8" t="s">
        <v>24</v>
      </c>
      <c r="P469" s="8" t="str">
        <f t="shared" si="14"/>
        <v>not valid</v>
      </c>
      <c r="Q469" s="8" t="str">
        <f t="shared" si="15"/>
        <v>Valid</v>
      </c>
    </row>
    <row r="470" spans="1:17" ht="13.8">
      <c r="A470" s="8" t="s">
        <v>514</v>
      </c>
      <c r="B470" s="8" t="s">
        <v>38</v>
      </c>
      <c r="C470" s="8" t="s">
        <v>39</v>
      </c>
      <c r="D470" s="7">
        <v>45711</v>
      </c>
      <c r="E470" s="7">
        <v>45711</v>
      </c>
      <c r="F470" s="8">
        <v>0</v>
      </c>
      <c r="G470" s="8" t="s">
        <v>34</v>
      </c>
      <c r="H470" s="8" t="s">
        <v>19</v>
      </c>
      <c r="I470" s="8" t="s">
        <v>546</v>
      </c>
      <c r="J470" s="8" t="s">
        <v>20</v>
      </c>
      <c r="K470" s="8" t="s">
        <v>21</v>
      </c>
      <c r="L470" s="8" t="s">
        <v>44</v>
      </c>
      <c r="M470" s="8" t="s">
        <v>23</v>
      </c>
      <c r="N470" s="8">
        <v>72</v>
      </c>
      <c r="O470" s="8" t="s">
        <v>52</v>
      </c>
      <c r="P470" s="8" t="str">
        <f t="shared" si="14"/>
        <v>Valid</v>
      </c>
      <c r="Q470" s="8" t="str">
        <f t="shared" si="15"/>
        <v>Valid</v>
      </c>
    </row>
    <row r="471" spans="1:17" ht="13.8">
      <c r="A471" s="8" t="s">
        <v>515</v>
      </c>
      <c r="B471" s="8" t="s">
        <v>26</v>
      </c>
      <c r="C471" s="8" t="s">
        <v>39</v>
      </c>
      <c r="D471" s="7">
        <v>45662</v>
      </c>
      <c r="E471" s="7">
        <v>45662</v>
      </c>
      <c r="F471" s="8">
        <v>0</v>
      </c>
      <c r="G471" s="8" t="s">
        <v>28</v>
      </c>
      <c r="H471" s="8" t="s">
        <v>19</v>
      </c>
      <c r="I471" s="8" t="s">
        <v>546</v>
      </c>
      <c r="J471" s="8" t="s">
        <v>20</v>
      </c>
      <c r="K471" s="8" t="s">
        <v>43</v>
      </c>
      <c r="L471" s="8" t="s">
        <v>44</v>
      </c>
      <c r="M471" s="8" t="s">
        <v>45</v>
      </c>
      <c r="N471" s="8">
        <v>73</v>
      </c>
      <c r="O471" s="8" t="s">
        <v>52</v>
      </c>
      <c r="P471" s="8" t="str">
        <f t="shared" si="14"/>
        <v>Valid</v>
      </c>
      <c r="Q471" s="8" t="str">
        <f t="shared" si="15"/>
        <v>Valid</v>
      </c>
    </row>
    <row r="472" spans="1:17" ht="13.8">
      <c r="A472" s="8" t="s">
        <v>516</v>
      </c>
      <c r="B472" s="8" t="s">
        <v>16</v>
      </c>
      <c r="C472" s="8" t="s">
        <v>17</v>
      </c>
      <c r="D472" s="7">
        <v>45882</v>
      </c>
      <c r="E472" s="7">
        <v>45790</v>
      </c>
      <c r="F472" s="8">
        <v>4225</v>
      </c>
      <c r="G472" s="8" t="s">
        <v>28</v>
      </c>
      <c r="H472" s="8" t="s">
        <v>35</v>
      </c>
      <c r="I472" s="7">
        <v>45816</v>
      </c>
      <c r="J472" s="8" t="s">
        <v>20</v>
      </c>
      <c r="K472" s="8" t="s">
        <v>31</v>
      </c>
      <c r="L472" s="8" t="s">
        <v>547</v>
      </c>
      <c r="M472" s="8" t="s">
        <v>36</v>
      </c>
      <c r="N472" s="8">
        <v>54</v>
      </c>
      <c r="O472" s="8" t="s">
        <v>24</v>
      </c>
      <c r="P472" s="8" t="str">
        <f t="shared" si="14"/>
        <v>not valid</v>
      </c>
      <c r="Q472" s="8" t="str">
        <f t="shared" si="15"/>
        <v>Not valid</v>
      </c>
    </row>
    <row r="473" spans="1:17" ht="13.8">
      <c r="A473" s="8" t="s">
        <v>517</v>
      </c>
      <c r="B473" s="8" t="s">
        <v>38</v>
      </c>
      <c r="C473" s="8" t="s">
        <v>17</v>
      </c>
      <c r="D473" s="7">
        <v>45876</v>
      </c>
      <c r="E473" s="7">
        <v>45881</v>
      </c>
      <c r="F473" s="8">
        <v>4008</v>
      </c>
      <c r="G473" s="8" t="s">
        <v>28</v>
      </c>
      <c r="H473" s="8" t="s">
        <v>49</v>
      </c>
      <c r="I473" s="7">
        <v>45699</v>
      </c>
      <c r="J473" s="8" t="s">
        <v>30</v>
      </c>
      <c r="K473" s="8" t="s">
        <v>40</v>
      </c>
      <c r="L473" s="8" t="s">
        <v>548</v>
      </c>
      <c r="M473" s="8" t="s">
        <v>32</v>
      </c>
      <c r="N473" s="8">
        <v>92</v>
      </c>
      <c r="O473" s="8" t="s">
        <v>24</v>
      </c>
      <c r="P473" s="8" t="str">
        <f t="shared" si="14"/>
        <v>Valid</v>
      </c>
      <c r="Q473" s="8" t="str">
        <f t="shared" si="15"/>
        <v>Not valid</v>
      </c>
    </row>
    <row r="474" spans="1:17" ht="13.8">
      <c r="A474" s="8" t="s">
        <v>518</v>
      </c>
      <c r="B474" s="8" t="s">
        <v>38</v>
      </c>
      <c r="C474" s="8" t="s">
        <v>27</v>
      </c>
      <c r="D474" s="7">
        <v>45786</v>
      </c>
      <c r="E474" s="7">
        <v>45884</v>
      </c>
      <c r="F474" s="8">
        <v>0</v>
      </c>
      <c r="G474" s="8" t="s">
        <v>18</v>
      </c>
      <c r="H474" s="8" t="s">
        <v>29</v>
      </c>
      <c r="I474" s="8" t="s">
        <v>546</v>
      </c>
      <c r="J474" s="8" t="s">
        <v>30</v>
      </c>
      <c r="K474" s="8" t="s">
        <v>21</v>
      </c>
      <c r="L474" s="8" t="s">
        <v>44</v>
      </c>
      <c r="M474" s="8" t="s">
        <v>36</v>
      </c>
      <c r="N474" s="8">
        <v>61</v>
      </c>
      <c r="O474" s="8" t="s">
        <v>52</v>
      </c>
      <c r="P474" s="8" t="str">
        <f t="shared" si="14"/>
        <v>Valid</v>
      </c>
      <c r="Q474" s="8" t="str">
        <f t="shared" si="15"/>
        <v>Valid</v>
      </c>
    </row>
    <row r="475" spans="1:17" ht="13.8">
      <c r="A475" s="8" t="s">
        <v>519</v>
      </c>
      <c r="B475" s="8" t="s">
        <v>16</v>
      </c>
      <c r="C475" s="8" t="s">
        <v>27</v>
      </c>
      <c r="D475" s="7">
        <v>45904</v>
      </c>
      <c r="E475" s="7">
        <v>45734</v>
      </c>
      <c r="F475" s="8">
        <v>0</v>
      </c>
      <c r="G475" s="8" t="s">
        <v>48</v>
      </c>
      <c r="H475" s="8" t="s">
        <v>19</v>
      </c>
      <c r="I475" s="8" t="s">
        <v>546</v>
      </c>
      <c r="J475" s="8" t="s">
        <v>20</v>
      </c>
      <c r="K475" s="8" t="s">
        <v>31</v>
      </c>
      <c r="L475" s="8" t="s">
        <v>41</v>
      </c>
      <c r="M475" s="8" t="s">
        <v>36</v>
      </c>
      <c r="N475" s="8">
        <v>73</v>
      </c>
      <c r="O475" s="8" t="s">
        <v>24</v>
      </c>
      <c r="P475" s="8" t="str">
        <f t="shared" si="14"/>
        <v>not valid</v>
      </c>
      <c r="Q475" s="8" t="str">
        <f t="shared" si="15"/>
        <v>Valid</v>
      </c>
    </row>
    <row r="476" spans="1:17" ht="13.8">
      <c r="A476" s="8" t="s">
        <v>520</v>
      </c>
      <c r="B476" s="8" t="s">
        <v>26</v>
      </c>
      <c r="C476" s="8" t="s">
        <v>17</v>
      </c>
      <c r="D476" s="7">
        <v>45844</v>
      </c>
      <c r="E476" s="7">
        <v>45801</v>
      </c>
      <c r="F476" s="8">
        <v>2701</v>
      </c>
      <c r="G476" s="8" t="s">
        <v>28</v>
      </c>
      <c r="H476" s="8" t="s">
        <v>35</v>
      </c>
      <c r="I476" s="7">
        <v>45930</v>
      </c>
      <c r="J476" s="8" t="s">
        <v>30</v>
      </c>
      <c r="K476" s="8" t="s">
        <v>31</v>
      </c>
      <c r="L476" s="8" t="s">
        <v>548</v>
      </c>
      <c r="M476" s="8" t="s">
        <v>45</v>
      </c>
      <c r="N476" s="8">
        <v>36</v>
      </c>
      <c r="O476" s="8" t="s">
        <v>52</v>
      </c>
      <c r="P476" s="8" t="str">
        <f t="shared" si="14"/>
        <v>not valid</v>
      </c>
      <c r="Q476" s="8" t="str">
        <f t="shared" si="15"/>
        <v>Valid</v>
      </c>
    </row>
    <row r="477" spans="1:17" ht="13.8">
      <c r="A477" s="8" t="s">
        <v>521</v>
      </c>
      <c r="B477" s="8" t="s">
        <v>38</v>
      </c>
      <c r="C477" s="8" t="s">
        <v>27</v>
      </c>
      <c r="D477" s="7">
        <v>45883</v>
      </c>
      <c r="E477" s="7">
        <v>45934</v>
      </c>
      <c r="F477" s="8">
        <v>0</v>
      </c>
      <c r="G477" s="8" t="s">
        <v>34</v>
      </c>
      <c r="H477" s="8" t="s">
        <v>19</v>
      </c>
      <c r="I477" s="8" t="s">
        <v>546</v>
      </c>
      <c r="J477" s="8" t="s">
        <v>30</v>
      </c>
      <c r="K477" s="8" t="s">
        <v>31</v>
      </c>
      <c r="L477" s="8" t="s">
        <v>41</v>
      </c>
      <c r="M477" s="8" t="s">
        <v>36</v>
      </c>
      <c r="N477" s="8">
        <v>68</v>
      </c>
      <c r="O477" s="8" t="s">
        <v>46</v>
      </c>
      <c r="P477" s="8" t="str">
        <f t="shared" si="14"/>
        <v>Valid</v>
      </c>
      <c r="Q477" s="8" t="str">
        <f t="shared" si="15"/>
        <v>Valid</v>
      </c>
    </row>
    <row r="478" spans="1:17" ht="13.8">
      <c r="A478" s="8" t="s">
        <v>522</v>
      </c>
      <c r="B478" s="8" t="s">
        <v>16</v>
      </c>
      <c r="C478" s="8" t="s">
        <v>17</v>
      </c>
      <c r="D478" s="7">
        <v>45711</v>
      </c>
      <c r="E478" s="7">
        <v>45805</v>
      </c>
      <c r="F478" s="8">
        <v>4384</v>
      </c>
      <c r="G478" s="8" t="s">
        <v>18</v>
      </c>
      <c r="H478" s="8" t="s">
        <v>19</v>
      </c>
      <c r="I478" s="7">
        <v>45871</v>
      </c>
      <c r="J478" s="8" t="s">
        <v>20</v>
      </c>
      <c r="K478" s="8" t="s">
        <v>31</v>
      </c>
      <c r="L478" s="8" t="s">
        <v>22</v>
      </c>
      <c r="M478" s="8" t="s">
        <v>32</v>
      </c>
      <c r="N478" s="8">
        <v>75</v>
      </c>
      <c r="O478" s="8" t="s">
        <v>46</v>
      </c>
      <c r="P478" s="8" t="str">
        <f t="shared" si="14"/>
        <v>Valid</v>
      </c>
      <c r="Q478" s="8" t="str">
        <f t="shared" si="15"/>
        <v>Valid</v>
      </c>
    </row>
    <row r="479" spans="1:17" ht="13.8">
      <c r="A479" s="8" t="s">
        <v>523</v>
      </c>
      <c r="B479" s="8" t="s">
        <v>38</v>
      </c>
      <c r="C479" s="8" t="s">
        <v>17</v>
      </c>
      <c r="D479" s="9">
        <v>45941</v>
      </c>
      <c r="E479" s="7">
        <v>45817</v>
      </c>
      <c r="F479" s="8">
        <v>3744</v>
      </c>
      <c r="G479" s="8" t="s">
        <v>48</v>
      </c>
      <c r="H479" s="8" t="s">
        <v>29</v>
      </c>
      <c r="I479" s="7">
        <v>45737</v>
      </c>
      <c r="J479" s="8" t="s">
        <v>20</v>
      </c>
      <c r="K479" s="8" t="s">
        <v>43</v>
      </c>
      <c r="L479" s="8" t="s">
        <v>547</v>
      </c>
      <c r="M479" s="8" t="s">
        <v>36</v>
      </c>
      <c r="N479" s="8">
        <v>46</v>
      </c>
      <c r="O479" s="8" t="s">
        <v>52</v>
      </c>
      <c r="P479" s="8" t="str">
        <f t="shared" si="14"/>
        <v>not valid</v>
      </c>
      <c r="Q479" s="8" t="str">
        <f t="shared" si="15"/>
        <v>Not valid</v>
      </c>
    </row>
    <row r="480" spans="1:17" ht="13.8">
      <c r="A480" s="8" t="s">
        <v>524</v>
      </c>
      <c r="B480" s="8" t="s">
        <v>51</v>
      </c>
      <c r="C480" s="8" t="s">
        <v>39</v>
      </c>
      <c r="D480" s="7">
        <v>45939</v>
      </c>
      <c r="E480" s="7">
        <v>45939</v>
      </c>
      <c r="F480" s="8">
        <v>0</v>
      </c>
      <c r="G480" s="8" t="s">
        <v>48</v>
      </c>
      <c r="H480" s="8" t="s">
        <v>19</v>
      </c>
      <c r="I480" s="8" t="s">
        <v>546</v>
      </c>
      <c r="J480" s="8" t="s">
        <v>30</v>
      </c>
      <c r="K480" s="8" t="s">
        <v>21</v>
      </c>
      <c r="L480" s="8" t="s">
        <v>41</v>
      </c>
      <c r="M480" s="8" t="s">
        <v>32</v>
      </c>
      <c r="N480" s="8">
        <v>84</v>
      </c>
      <c r="O480" s="8" t="s">
        <v>46</v>
      </c>
      <c r="P480" s="8" t="str">
        <f t="shared" si="14"/>
        <v>Valid</v>
      </c>
      <c r="Q480" s="8" t="str">
        <f t="shared" si="15"/>
        <v>Valid</v>
      </c>
    </row>
    <row r="481" spans="1:17" ht="13.8">
      <c r="A481" s="8" t="s">
        <v>525</v>
      </c>
      <c r="B481" s="8" t="s">
        <v>51</v>
      </c>
      <c r="C481" s="8" t="s">
        <v>17</v>
      </c>
      <c r="D481" s="7">
        <v>45770</v>
      </c>
      <c r="E481" s="7">
        <v>45853</v>
      </c>
      <c r="F481" s="8">
        <v>2111</v>
      </c>
      <c r="G481" s="8" t="s">
        <v>48</v>
      </c>
      <c r="H481" s="8" t="s">
        <v>29</v>
      </c>
      <c r="I481" s="7">
        <v>45910</v>
      </c>
      <c r="J481" s="8" t="s">
        <v>20</v>
      </c>
      <c r="K481" s="8" t="s">
        <v>31</v>
      </c>
      <c r="L481" s="8" t="s">
        <v>548</v>
      </c>
      <c r="M481" s="8" t="s">
        <v>36</v>
      </c>
      <c r="N481" s="8">
        <v>52</v>
      </c>
      <c r="O481" s="8" t="s">
        <v>24</v>
      </c>
      <c r="P481" s="8" t="str">
        <f t="shared" si="14"/>
        <v>Valid</v>
      </c>
      <c r="Q481" s="8" t="str">
        <f t="shared" si="15"/>
        <v>Valid</v>
      </c>
    </row>
    <row r="482" spans="1:17" ht="13.8">
      <c r="A482" s="8" t="s">
        <v>526</v>
      </c>
      <c r="B482" s="8" t="s">
        <v>38</v>
      </c>
      <c r="C482" s="8" t="s">
        <v>27</v>
      </c>
      <c r="D482" s="7">
        <v>45740</v>
      </c>
      <c r="E482" s="7">
        <v>45780</v>
      </c>
      <c r="F482" s="8">
        <v>0</v>
      </c>
      <c r="G482" s="8" t="s">
        <v>28</v>
      </c>
      <c r="H482" s="8" t="s">
        <v>19</v>
      </c>
      <c r="I482" s="8" t="s">
        <v>546</v>
      </c>
      <c r="J482" s="8" t="s">
        <v>20</v>
      </c>
      <c r="K482" s="8" t="s">
        <v>31</v>
      </c>
      <c r="L482" s="8" t="s">
        <v>27</v>
      </c>
      <c r="M482" s="8" t="s">
        <v>45</v>
      </c>
      <c r="N482" s="8">
        <v>50</v>
      </c>
      <c r="O482" s="8" t="s">
        <v>52</v>
      </c>
      <c r="P482" s="8" t="str">
        <f t="shared" si="14"/>
        <v>Valid</v>
      </c>
      <c r="Q482" s="8" t="str">
        <f t="shared" si="15"/>
        <v>Valid</v>
      </c>
    </row>
    <row r="483" spans="1:17" ht="13.8">
      <c r="A483" s="8" t="s">
        <v>527</v>
      </c>
      <c r="B483" s="8" t="s">
        <v>51</v>
      </c>
      <c r="C483" s="8" t="s">
        <v>27</v>
      </c>
      <c r="D483" s="7">
        <v>45662</v>
      </c>
      <c r="E483" s="7">
        <v>45675</v>
      </c>
      <c r="F483" s="8">
        <v>0</v>
      </c>
      <c r="G483" s="8" t="s">
        <v>28</v>
      </c>
      <c r="H483" s="8" t="s">
        <v>19</v>
      </c>
      <c r="I483" s="8" t="s">
        <v>546</v>
      </c>
      <c r="J483" s="8" t="s">
        <v>30</v>
      </c>
      <c r="K483" s="8" t="s">
        <v>31</v>
      </c>
      <c r="L483" s="8" t="s">
        <v>41</v>
      </c>
      <c r="M483" s="8" t="s">
        <v>32</v>
      </c>
      <c r="N483" s="8">
        <v>80</v>
      </c>
      <c r="O483" s="8" t="s">
        <v>24</v>
      </c>
      <c r="P483" s="8" t="str">
        <f t="shared" si="14"/>
        <v>Valid</v>
      </c>
      <c r="Q483" s="8" t="str">
        <f t="shared" si="15"/>
        <v>Valid</v>
      </c>
    </row>
    <row r="484" spans="1:17" ht="13.8">
      <c r="A484" s="8" t="s">
        <v>528</v>
      </c>
      <c r="B484" s="8" t="s">
        <v>38</v>
      </c>
      <c r="C484" s="8" t="s">
        <v>27</v>
      </c>
      <c r="D484" s="7">
        <v>45724</v>
      </c>
      <c r="E484" s="7">
        <v>45842</v>
      </c>
      <c r="F484" s="8">
        <v>0</v>
      </c>
      <c r="G484" s="8" t="s">
        <v>34</v>
      </c>
      <c r="H484" s="8" t="s">
        <v>29</v>
      </c>
      <c r="I484" s="8" t="s">
        <v>546</v>
      </c>
      <c r="J484" s="8" t="s">
        <v>30</v>
      </c>
      <c r="K484" s="8" t="s">
        <v>21</v>
      </c>
      <c r="L484" s="8" t="s">
        <v>44</v>
      </c>
      <c r="M484" s="8" t="s">
        <v>45</v>
      </c>
      <c r="N484" s="8">
        <v>56</v>
      </c>
      <c r="O484" s="8" t="s">
        <v>24</v>
      </c>
      <c r="P484" s="8" t="str">
        <f t="shared" si="14"/>
        <v>Valid</v>
      </c>
      <c r="Q484" s="8" t="str">
        <f t="shared" si="15"/>
        <v>Valid</v>
      </c>
    </row>
    <row r="485" spans="1:17" ht="13.8">
      <c r="A485" s="8" t="s">
        <v>529</v>
      </c>
      <c r="B485" s="8" t="s">
        <v>16</v>
      </c>
      <c r="C485" s="8" t="s">
        <v>27</v>
      </c>
      <c r="D485" s="9">
        <v>45944</v>
      </c>
      <c r="E485" s="7">
        <v>45880</v>
      </c>
      <c r="F485" s="8">
        <v>0</v>
      </c>
      <c r="G485" s="8" t="s">
        <v>18</v>
      </c>
      <c r="H485" s="8" t="s">
        <v>19</v>
      </c>
      <c r="I485" s="8" t="s">
        <v>546</v>
      </c>
      <c r="J485" s="8" t="s">
        <v>20</v>
      </c>
      <c r="K485" s="8" t="s">
        <v>43</v>
      </c>
      <c r="L485" s="8" t="s">
        <v>27</v>
      </c>
      <c r="M485" s="8" t="s">
        <v>32</v>
      </c>
      <c r="N485" s="8">
        <v>94</v>
      </c>
      <c r="O485" s="8" t="s">
        <v>52</v>
      </c>
      <c r="P485" s="8" t="str">
        <f t="shared" si="14"/>
        <v>not valid</v>
      </c>
      <c r="Q485" s="8" t="str">
        <f t="shared" si="15"/>
        <v>Valid</v>
      </c>
    </row>
    <row r="486" spans="1:17" ht="13.8">
      <c r="A486" s="8" t="s">
        <v>530</v>
      </c>
      <c r="B486" s="8" t="s">
        <v>51</v>
      </c>
      <c r="C486" s="8" t="s">
        <v>17</v>
      </c>
      <c r="D486" s="7">
        <v>45749</v>
      </c>
      <c r="E486" s="7">
        <v>45817</v>
      </c>
      <c r="F486" s="8">
        <v>4085</v>
      </c>
      <c r="G486" s="8" t="s">
        <v>28</v>
      </c>
      <c r="H486" s="8" t="s">
        <v>19</v>
      </c>
      <c r="I486" s="7">
        <v>45775</v>
      </c>
      <c r="J486" s="8" t="s">
        <v>30</v>
      </c>
      <c r="K486" s="8" t="s">
        <v>40</v>
      </c>
      <c r="L486" s="8" t="s">
        <v>27</v>
      </c>
      <c r="M486" s="8" t="s">
        <v>45</v>
      </c>
      <c r="N486" s="8">
        <v>59</v>
      </c>
      <c r="O486" s="8" t="s">
        <v>52</v>
      </c>
      <c r="P486" s="8" t="str">
        <f t="shared" si="14"/>
        <v>Valid</v>
      </c>
      <c r="Q486" s="8" t="str">
        <f t="shared" si="15"/>
        <v>Valid</v>
      </c>
    </row>
    <row r="487" spans="1:17" ht="13.8">
      <c r="A487" s="8" t="s">
        <v>531</v>
      </c>
      <c r="B487" s="8" t="s">
        <v>16</v>
      </c>
      <c r="C487" s="8" t="s">
        <v>39</v>
      </c>
      <c r="D487" s="7">
        <v>45819</v>
      </c>
      <c r="E487" s="7">
        <v>45819</v>
      </c>
      <c r="F487" s="8">
        <v>0</v>
      </c>
      <c r="G487" s="8" t="s">
        <v>48</v>
      </c>
      <c r="H487" s="8" t="s">
        <v>29</v>
      </c>
      <c r="I487" s="8" t="s">
        <v>546</v>
      </c>
      <c r="J487" s="8" t="s">
        <v>30</v>
      </c>
      <c r="K487" s="8" t="s">
        <v>21</v>
      </c>
      <c r="L487" s="8" t="s">
        <v>22</v>
      </c>
      <c r="M487" s="8" t="s">
        <v>45</v>
      </c>
      <c r="N487" s="8">
        <v>60</v>
      </c>
      <c r="O487" s="8" t="s">
        <v>52</v>
      </c>
      <c r="P487" s="8" t="str">
        <f t="shared" si="14"/>
        <v>Valid</v>
      </c>
      <c r="Q487" s="8" t="str">
        <f t="shared" si="15"/>
        <v>Valid</v>
      </c>
    </row>
    <row r="488" spans="1:17" ht="13.8">
      <c r="A488" s="8" t="s">
        <v>532</v>
      </c>
      <c r="B488" s="8" t="s">
        <v>38</v>
      </c>
      <c r="C488" s="8" t="s">
        <v>27</v>
      </c>
      <c r="D488" s="7">
        <v>45882</v>
      </c>
      <c r="E488" s="7">
        <v>45831</v>
      </c>
      <c r="F488" s="8">
        <v>0</v>
      </c>
      <c r="G488" s="8" t="s">
        <v>18</v>
      </c>
      <c r="H488" s="8" t="s">
        <v>49</v>
      </c>
      <c r="I488" s="8" t="s">
        <v>546</v>
      </c>
      <c r="J488" s="8" t="s">
        <v>30</v>
      </c>
      <c r="K488" s="8" t="s">
        <v>21</v>
      </c>
      <c r="L488" s="8" t="s">
        <v>41</v>
      </c>
      <c r="M488" s="8" t="s">
        <v>32</v>
      </c>
      <c r="N488" s="8">
        <v>91</v>
      </c>
      <c r="O488" s="8" t="s">
        <v>52</v>
      </c>
      <c r="P488" s="8" t="str">
        <f t="shared" si="14"/>
        <v>not valid</v>
      </c>
      <c r="Q488" s="8" t="str">
        <f t="shared" si="15"/>
        <v>Valid</v>
      </c>
    </row>
    <row r="489" spans="1:17" ht="13.8">
      <c r="A489" s="8" t="s">
        <v>533</v>
      </c>
      <c r="B489" s="8" t="s">
        <v>51</v>
      </c>
      <c r="C489" s="8" t="s">
        <v>17</v>
      </c>
      <c r="D489" s="7">
        <v>45842</v>
      </c>
      <c r="E489" s="7">
        <v>45667</v>
      </c>
      <c r="F489" s="8">
        <v>4943</v>
      </c>
      <c r="G489" s="8" t="s">
        <v>34</v>
      </c>
      <c r="H489" s="8" t="s">
        <v>49</v>
      </c>
      <c r="I489" s="7">
        <v>45877</v>
      </c>
      <c r="J489" s="8" t="s">
        <v>30</v>
      </c>
      <c r="K489" s="8" t="s">
        <v>40</v>
      </c>
      <c r="L489" s="8" t="s">
        <v>27</v>
      </c>
      <c r="M489" s="8" t="s">
        <v>36</v>
      </c>
      <c r="N489" s="8">
        <v>61</v>
      </c>
      <c r="O489" s="8" t="s">
        <v>24</v>
      </c>
      <c r="P489" s="8" t="str">
        <f t="shared" si="14"/>
        <v>not valid</v>
      </c>
      <c r="Q489" s="8" t="str">
        <f t="shared" si="15"/>
        <v>Valid</v>
      </c>
    </row>
    <row r="490" spans="1:17" ht="13.8">
      <c r="A490" s="8" t="s">
        <v>534</v>
      </c>
      <c r="B490" s="8" t="s">
        <v>38</v>
      </c>
      <c r="C490" s="8" t="s">
        <v>17</v>
      </c>
      <c r="D490" s="7">
        <v>45853</v>
      </c>
      <c r="E490" s="7">
        <v>45866</v>
      </c>
      <c r="F490" s="8">
        <v>4649</v>
      </c>
      <c r="G490" s="8" t="s">
        <v>18</v>
      </c>
      <c r="H490" s="8" t="s">
        <v>49</v>
      </c>
      <c r="I490" s="7">
        <v>45672</v>
      </c>
      <c r="J490" s="8" t="s">
        <v>30</v>
      </c>
      <c r="K490" s="8" t="s">
        <v>31</v>
      </c>
      <c r="L490" s="8" t="s">
        <v>548</v>
      </c>
      <c r="M490" s="8" t="s">
        <v>23</v>
      </c>
      <c r="N490" s="8">
        <v>79</v>
      </c>
      <c r="O490" s="8" t="s">
        <v>46</v>
      </c>
      <c r="P490" s="8" t="str">
        <f t="shared" si="14"/>
        <v>Valid</v>
      </c>
      <c r="Q490" s="8" t="str">
        <f t="shared" si="15"/>
        <v>Not valid</v>
      </c>
    </row>
    <row r="491" spans="1:17" ht="13.8">
      <c r="A491" s="8" t="s">
        <v>535</v>
      </c>
      <c r="B491" s="8" t="s">
        <v>26</v>
      </c>
      <c r="C491" s="8" t="s">
        <v>17</v>
      </c>
      <c r="D491" s="7">
        <v>45877</v>
      </c>
      <c r="E491" s="7">
        <v>45700</v>
      </c>
      <c r="F491" s="8">
        <v>2417</v>
      </c>
      <c r="G491" s="8" t="s">
        <v>34</v>
      </c>
      <c r="H491" s="8" t="s">
        <v>29</v>
      </c>
      <c r="I491" s="7">
        <v>45728</v>
      </c>
      <c r="J491" s="8" t="s">
        <v>20</v>
      </c>
      <c r="K491" s="8" t="s">
        <v>31</v>
      </c>
      <c r="L491" s="8" t="s">
        <v>547</v>
      </c>
      <c r="M491" s="8" t="s">
        <v>45</v>
      </c>
      <c r="N491" s="8">
        <v>66</v>
      </c>
      <c r="O491" s="8" t="s">
        <v>24</v>
      </c>
      <c r="P491" s="8" t="str">
        <f t="shared" si="14"/>
        <v>not valid</v>
      </c>
      <c r="Q491" s="8" t="str">
        <f t="shared" si="15"/>
        <v>Not valid</v>
      </c>
    </row>
    <row r="492" spans="1:17" ht="13.8">
      <c r="A492" s="8" t="s">
        <v>536</v>
      </c>
      <c r="B492" s="8" t="s">
        <v>16</v>
      </c>
      <c r="C492" s="8" t="s">
        <v>27</v>
      </c>
      <c r="D492" s="7">
        <v>45749</v>
      </c>
      <c r="E492" s="7">
        <v>45889</v>
      </c>
      <c r="F492" s="8">
        <v>0</v>
      </c>
      <c r="G492" s="8" t="s">
        <v>18</v>
      </c>
      <c r="H492" s="8" t="s">
        <v>49</v>
      </c>
      <c r="I492" s="8" t="s">
        <v>546</v>
      </c>
      <c r="J492" s="8" t="s">
        <v>20</v>
      </c>
      <c r="K492" s="8" t="s">
        <v>21</v>
      </c>
      <c r="L492" s="8" t="s">
        <v>22</v>
      </c>
      <c r="M492" s="8" t="s">
        <v>32</v>
      </c>
      <c r="N492" s="8">
        <v>30</v>
      </c>
      <c r="O492" s="8" t="s">
        <v>52</v>
      </c>
      <c r="P492" s="8" t="str">
        <f t="shared" si="14"/>
        <v>Valid</v>
      </c>
      <c r="Q492" s="8" t="str">
        <f t="shared" si="15"/>
        <v>Valid</v>
      </c>
    </row>
    <row r="493" spans="1:17" ht="13.8">
      <c r="A493" s="8" t="s">
        <v>537</v>
      </c>
      <c r="B493" s="8" t="s">
        <v>26</v>
      </c>
      <c r="C493" s="8" t="s">
        <v>27</v>
      </c>
      <c r="D493" s="7">
        <v>45817</v>
      </c>
      <c r="E493" s="7">
        <v>45739</v>
      </c>
      <c r="F493" s="8">
        <v>0</v>
      </c>
      <c r="G493" s="8" t="s">
        <v>48</v>
      </c>
      <c r="H493" s="8" t="s">
        <v>19</v>
      </c>
      <c r="I493" s="8" t="s">
        <v>546</v>
      </c>
      <c r="J493" s="8" t="s">
        <v>20</v>
      </c>
      <c r="K493" s="8" t="s">
        <v>40</v>
      </c>
      <c r="L493" s="8" t="s">
        <v>22</v>
      </c>
      <c r="M493" s="8" t="s">
        <v>32</v>
      </c>
      <c r="N493" s="8">
        <v>39</v>
      </c>
      <c r="O493" s="8" t="s">
        <v>52</v>
      </c>
      <c r="P493" s="8" t="str">
        <f t="shared" si="14"/>
        <v>not valid</v>
      </c>
      <c r="Q493" s="8" t="str">
        <f t="shared" si="15"/>
        <v>Valid</v>
      </c>
    </row>
    <row r="494" spans="1:17" ht="13.8">
      <c r="A494" s="8" t="s">
        <v>538</v>
      </c>
      <c r="B494" s="8" t="s">
        <v>26</v>
      </c>
      <c r="C494" s="8" t="s">
        <v>17</v>
      </c>
      <c r="D494" s="7">
        <v>45853</v>
      </c>
      <c r="E494" s="7">
        <v>45881</v>
      </c>
      <c r="F494" s="8">
        <v>2332</v>
      </c>
      <c r="G494" s="8" t="s">
        <v>34</v>
      </c>
      <c r="H494" s="8" t="s">
        <v>19</v>
      </c>
      <c r="I494" s="9">
        <v>45944</v>
      </c>
      <c r="J494" s="8" t="s">
        <v>20</v>
      </c>
      <c r="K494" s="8" t="s">
        <v>21</v>
      </c>
      <c r="L494" s="8" t="s">
        <v>22</v>
      </c>
      <c r="M494" s="8" t="s">
        <v>23</v>
      </c>
      <c r="N494" s="8">
        <v>67</v>
      </c>
      <c r="O494" s="8" t="s">
        <v>52</v>
      </c>
      <c r="P494" s="8" t="str">
        <f t="shared" si="14"/>
        <v>Valid</v>
      </c>
      <c r="Q494" s="8" t="str">
        <f t="shared" si="15"/>
        <v>Valid</v>
      </c>
    </row>
    <row r="495" spans="1:17" ht="13.8">
      <c r="A495" s="8" t="s">
        <v>539</v>
      </c>
      <c r="B495" s="8" t="s">
        <v>26</v>
      </c>
      <c r="C495" s="8" t="s">
        <v>17</v>
      </c>
      <c r="D495" s="7">
        <v>45775</v>
      </c>
      <c r="E495" s="7">
        <v>45690</v>
      </c>
      <c r="F495" s="8">
        <v>4438</v>
      </c>
      <c r="G495" s="8" t="s">
        <v>28</v>
      </c>
      <c r="H495" s="8" t="s">
        <v>49</v>
      </c>
      <c r="I495" s="7">
        <v>45771</v>
      </c>
      <c r="J495" s="8" t="s">
        <v>30</v>
      </c>
      <c r="K495" s="8" t="s">
        <v>43</v>
      </c>
      <c r="L495" s="8" t="s">
        <v>547</v>
      </c>
      <c r="M495" s="8" t="s">
        <v>32</v>
      </c>
      <c r="N495" s="8">
        <v>44</v>
      </c>
      <c r="O495" s="8" t="s">
        <v>46</v>
      </c>
      <c r="P495" s="8" t="str">
        <f t="shared" si="14"/>
        <v>not valid</v>
      </c>
      <c r="Q495" s="8" t="str">
        <f t="shared" si="15"/>
        <v>Not valid</v>
      </c>
    </row>
    <row r="496" spans="1:17" ht="13.8">
      <c r="A496" s="8" t="s">
        <v>540</v>
      </c>
      <c r="B496" s="8" t="s">
        <v>26</v>
      </c>
      <c r="C496" s="8" t="s">
        <v>17</v>
      </c>
      <c r="D496" s="7">
        <v>45859</v>
      </c>
      <c r="E496" s="7">
        <v>45837</v>
      </c>
      <c r="F496" s="8">
        <v>3300</v>
      </c>
      <c r="G496" s="8" t="s">
        <v>28</v>
      </c>
      <c r="H496" s="8" t="s">
        <v>29</v>
      </c>
      <c r="I496" s="7">
        <v>45772</v>
      </c>
      <c r="J496" s="8" t="s">
        <v>20</v>
      </c>
      <c r="K496" s="8" t="s">
        <v>21</v>
      </c>
      <c r="L496" s="8" t="s">
        <v>548</v>
      </c>
      <c r="M496" s="8" t="s">
        <v>32</v>
      </c>
      <c r="N496" s="8">
        <v>58</v>
      </c>
      <c r="O496" s="8" t="s">
        <v>24</v>
      </c>
      <c r="P496" s="8" t="str">
        <f t="shared" si="14"/>
        <v>not valid</v>
      </c>
      <c r="Q496" s="8" t="str">
        <f t="shared" si="15"/>
        <v>Not valid</v>
      </c>
    </row>
    <row r="497" spans="1:17" ht="13.8">
      <c r="A497" s="8" t="s">
        <v>541</v>
      </c>
      <c r="B497" s="8" t="s">
        <v>51</v>
      </c>
      <c r="C497" s="8" t="s">
        <v>39</v>
      </c>
      <c r="D497" s="7">
        <v>45910</v>
      </c>
      <c r="E497" s="7">
        <v>45910</v>
      </c>
      <c r="F497" s="8">
        <v>0</v>
      </c>
      <c r="G497" s="8" t="s">
        <v>18</v>
      </c>
      <c r="H497" s="8" t="s">
        <v>49</v>
      </c>
      <c r="I497" s="8" t="s">
        <v>546</v>
      </c>
      <c r="J497" s="8" t="s">
        <v>20</v>
      </c>
      <c r="K497" s="8" t="s">
        <v>43</v>
      </c>
      <c r="L497" s="8" t="s">
        <v>44</v>
      </c>
      <c r="M497" s="8" t="s">
        <v>36</v>
      </c>
      <c r="N497" s="8">
        <v>58</v>
      </c>
      <c r="O497" s="8" t="s">
        <v>24</v>
      </c>
      <c r="P497" s="8" t="str">
        <f t="shared" si="14"/>
        <v>Valid</v>
      </c>
      <c r="Q497" s="8" t="str">
        <f t="shared" si="15"/>
        <v>Valid</v>
      </c>
    </row>
    <row r="498" spans="1:17" ht="13.8">
      <c r="A498" s="8" t="s">
        <v>542</v>
      </c>
      <c r="B498" s="8" t="s">
        <v>26</v>
      </c>
      <c r="C498" s="8" t="s">
        <v>17</v>
      </c>
      <c r="D498" s="7">
        <v>45844</v>
      </c>
      <c r="E498" s="7">
        <v>45917</v>
      </c>
      <c r="F498" s="8">
        <v>2284</v>
      </c>
      <c r="G498" s="8" t="s">
        <v>34</v>
      </c>
      <c r="H498" s="8" t="s">
        <v>49</v>
      </c>
      <c r="I498" s="7">
        <v>45753</v>
      </c>
      <c r="J498" s="8" t="s">
        <v>30</v>
      </c>
      <c r="K498" s="8" t="s">
        <v>21</v>
      </c>
      <c r="L498" s="8" t="s">
        <v>548</v>
      </c>
      <c r="M498" s="8" t="s">
        <v>45</v>
      </c>
      <c r="N498" s="8">
        <v>33</v>
      </c>
      <c r="O498" s="8" t="s">
        <v>24</v>
      </c>
      <c r="P498" s="8" t="str">
        <f t="shared" si="14"/>
        <v>Valid</v>
      </c>
      <c r="Q498" s="8" t="str">
        <f t="shared" si="15"/>
        <v>Not valid</v>
      </c>
    </row>
    <row r="499" spans="1:17" ht="13.8">
      <c r="A499" s="8" t="s">
        <v>543</v>
      </c>
      <c r="B499" s="8" t="s">
        <v>26</v>
      </c>
      <c r="C499" s="8" t="s">
        <v>27</v>
      </c>
      <c r="D499" s="7">
        <v>45693</v>
      </c>
      <c r="E499" s="7">
        <v>45857</v>
      </c>
      <c r="F499" s="8">
        <v>0</v>
      </c>
      <c r="G499" s="8" t="s">
        <v>28</v>
      </c>
      <c r="H499" s="8" t="s">
        <v>49</v>
      </c>
      <c r="I499" s="8" t="s">
        <v>546</v>
      </c>
      <c r="J499" s="8" t="s">
        <v>30</v>
      </c>
      <c r="K499" s="8" t="s">
        <v>40</v>
      </c>
      <c r="L499" s="8" t="s">
        <v>41</v>
      </c>
      <c r="M499" s="8" t="s">
        <v>32</v>
      </c>
      <c r="N499" s="8">
        <v>32</v>
      </c>
      <c r="O499" s="8" t="s">
        <v>52</v>
      </c>
      <c r="P499" s="8" t="str">
        <f t="shared" si="14"/>
        <v>Valid</v>
      </c>
      <c r="Q499" s="8" t="str">
        <f t="shared" si="15"/>
        <v>Valid</v>
      </c>
    </row>
    <row r="500" spans="1:17" ht="13.8">
      <c r="A500" s="8" t="s">
        <v>544</v>
      </c>
      <c r="B500" s="8" t="s">
        <v>26</v>
      </c>
      <c r="C500" s="8" t="s">
        <v>27</v>
      </c>
      <c r="D500" s="7">
        <v>45730</v>
      </c>
      <c r="E500" s="7">
        <v>45789</v>
      </c>
      <c r="F500" s="8">
        <v>0</v>
      </c>
      <c r="G500" s="8" t="s">
        <v>18</v>
      </c>
      <c r="H500" s="8" t="s">
        <v>49</v>
      </c>
      <c r="I500" s="8" t="s">
        <v>546</v>
      </c>
      <c r="J500" s="8" t="s">
        <v>30</v>
      </c>
      <c r="K500" s="8" t="s">
        <v>43</v>
      </c>
      <c r="L500" s="8" t="s">
        <v>22</v>
      </c>
      <c r="M500" s="8" t="s">
        <v>32</v>
      </c>
      <c r="N500" s="8">
        <v>36</v>
      </c>
      <c r="O500" s="8" t="s">
        <v>52</v>
      </c>
      <c r="P500" s="8" t="str">
        <f t="shared" si="14"/>
        <v>Valid</v>
      </c>
      <c r="Q500" s="8" t="str">
        <f t="shared" si="15"/>
        <v>Valid</v>
      </c>
    </row>
    <row r="501" spans="1:17" ht="13.8">
      <c r="A501" s="8" t="s">
        <v>545</v>
      </c>
      <c r="B501" s="8" t="s">
        <v>16</v>
      </c>
      <c r="C501" s="8" t="s">
        <v>27</v>
      </c>
      <c r="D501" s="7">
        <v>45691</v>
      </c>
      <c r="E501" s="7">
        <v>45664</v>
      </c>
      <c r="F501" s="8">
        <v>0</v>
      </c>
      <c r="G501" s="8" t="s">
        <v>48</v>
      </c>
      <c r="H501" s="8" t="s">
        <v>19</v>
      </c>
      <c r="I501" s="8" t="s">
        <v>546</v>
      </c>
      <c r="J501" s="8" t="s">
        <v>20</v>
      </c>
      <c r="K501" s="8" t="s">
        <v>31</v>
      </c>
      <c r="L501" s="8" t="s">
        <v>44</v>
      </c>
      <c r="M501" s="8" t="s">
        <v>23</v>
      </c>
      <c r="N501" s="8">
        <v>78</v>
      </c>
      <c r="O501" s="8" t="s">
        <v>52</v>
      </c>
      <c r="P501" s="8" t="str">
        <f t="shared" si="14"/>
        <v>not valid</v>
      </c>
      <c r="Q501" s="8" t="str">
        <f t="shared" si="15"/>
        <v>Valid</v>
      </c>
    </row>
  </sheetData>
  <printOptions horizontalCentered="1" gridLines="1"/>
  <pageMargins left="0.7" right="0.7" top="0.75" bottom="0.75" header="0" footer="0"/>
  <pageSetup fitToHeight="0" pageOrder="overThenDown" orientation="landscape" cellComments="atEnd"/>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0BC4-434C-47DE-A633-3F235CD379E4}">
  <dimension ref="A3:W30"/>
  <sheetViews>
    <sheetView topLeftCell="D1" zoomScale="99" zoomScaleNormal="99" workbookViewId="0">
      <selection activeCell="N15" sqref="N15"/>
    </sheetView>
  </sheetViews>
  <sheetFormatPr defaultRowHeight="13.2"/>
  <cols>
    <col min="1" max="1" width="11.33203125" bestFit="1" customWidth="1"/>
    <col min="2" max="2" width="15.88671875" bestFit="1" customWidth="1"/>
    <col min="3" max="3" width="10.21875" bestFit="1" customWidth="1"/>
    <col min="4" max="5" width="20" bestFit="1" customWidth="1"/>
    <col min="6" max="6" width="11.33203125" bestFit="1" customWidth="1"/>
    <col min="7" max="7" width="19.88671875" bestFit="1" customWidth="1"/>
    <col min="8" max="8" width="16.33203125" bestFit="1" customWidth="1"/>
    <col min="9" max="11" width="6.44140625" bestFit="1" customWidth="1"/>
    <col min="12" max="12" width="12.77734375" bestFit="1" customWidth="1"/>
    <col min="13" max="13" width="9.88671875" bestFit="1" customWidth="1"/>
    <col min="14" max="14" width="7.5546875" bestFit="1" customWidth="1"/>
    <col min="15" max="16" width="6.44140625" bestFit="1" customWidth="1"/>
    <col min="17" max="17" width="12.88671875" bestFit="1" customWidth="1"/>
    <col min="18" max="18" width="22" bestFit="1" customWidth="1"/>
    <col min="19" max="21" width="6.44140625" bestFit="1" customWidth="1"/>
    <col min="22" max="22" width="25.109375" bestFit="1" customWidth="1"/>
    <col min="23" max="23" width="11.44140625" bestFit="1" customWidth="1"/>
  </cols>
  <sheetData>
    <row r="3" spans="1:14">
      <c r="A3" s="12" t="s">
        <v>6</v>
      </c>
      <c r="B3" t="s">
        <v>551</v>
      </c>
      <c r="D3" s="12" t="s">
        <v>554</v>
      </c>
      <c r="E3" t="s">
        <v>552</v>
      </c>
      <c r="G3" s="12" t="s">
        <v>551</v>
      </c>
      <c r="H3" s="12" t="s">
        <v>553</v>
      </c>
      <c r="M3" s="12" t="s">
        <v>6</v>
      </c>
      <c r="N3" t="s">
        <v>552</v>
      </c>
    </row>
    <row r="4" spans="1:14">
      <c r="A4" s="13" t="s">
        <v>34</v>
      </c>
      <c r="B4">
        <v>126</v>
      </c>
      <c r="D4" s="13" t="s">
        <v>35</v>
      </c>
      <c r="E4" s="14">
        <v>161087</v>
      </c>
      <c r="G4" s="12" t="s">
        <v>555</v>
      </c>
      <c r="H4" t="s">
        <v>27</v>
      </c>
      <c r="I4" t="s">
        <v>17</v>
      </c>
      <c r="J4" t="s">
        <v>39</v>
      </c>
      <c r="K4" t="s">
        <v>550</v>
      </c>
      <c r="M4" s="13" t="s">
        <v>34</v>
      </c>
      <c r="N4">
        <v>156677</v>
      </c>
    </row>
    <row r="5" spans="1:14">
      <c r="A5" s="13" t="s">
        <v>28</v>
      </c>
      <c r="B5">
        <v>116</v>
      </c>
      <c r="D5" s="13" t="s">
        <v>29</v>
      </c>
      <c r="E5" s="14">
        <v>152316</v>
      </c>
      <c r="G5" s="13" t="s">
        <v>51</v>
      </c>
      <c r="H5">
        <v>44</v>
      </c>
      <c r="I5">
        <v>48</v>
      </c>
      <c r="J5">
        <v>34</v>
      </c>
      <c r="K5">
        <v>126</v>
      </c>
      <c r="M5" s="13" t="s">
        <v>28</v>
      </c>
      <c r="N5">
        <v>148218</v>
      </c>
    </row>
    <row r="6" spans="1:14">
      <c r="A6" s="13" t="s">
        <v>48</v>
      </c>
      <c r="B6">
        <v>118</v>
      </c>
      <c r="D6" s="13" t="s">
        <v>19</v>
      </c>
      <c r="E6" s="14">
        <v>139759</v>
      </c>
      <c r="G6" s="13" t="s">
        <v>16</v>
      </c>
      <c r="H6">
        <v>42</v>
      </c>
      <c r="I6">
        <v>42</v>
      </c>
      <c r="J6">
        <v>39</v>
      </c>
      <c r="K6">
        <v>123</v>
      </c>
      <c r="M6" s="13" t="s">
        <v>48</v>
      </c>
      <c r="N6">
        <v>140719</v>
      </c>
    </row>
    <row r="7" spans="1:14">
      <c r="A7" s="13" t="s">
        <v>18</v>
      </c>
      <c r="B7">
        <v>140</v>
      </c>
      <c r="D7" s="13" t="s">
        <v>49</v>
      </c>
      <c r="E7" s="14">
        <v>167237</v>
      </c>
      <c r="G7" s="13" t="s">
        <v>26</v>
      </c>
      <c r="H7">
        <v>40</v>
      </c>
      <c r="I7">
        <v>36</v>
      </c>
      <c r="J7">
        <v>37</v>
      </c>
      <c r="K7">
        <v>113</v>
      </c>
      <c r="M7" s="13" t="s">
        <v>18</v>
      </c>
      <c r="N7">
        <v>174785</v>
      </c>
    </row>
    <row r="8" spans="1:14">
      <c r="A8" s="13" t="s">
        <v>550</v>
      </c>
      <c r="B8">
        <v>500</v>
      </c>
      <c r="D8" s="13" t="s">
        <v>550</v>
      </c>
      <c r="E8" s="14">
        <v>620399</v>
      </c>
      <c r="G8" s="13" t="s">
        <v>38</v>
      </c>
      <c r="H8">
        <v>38</v>
      </c>
      <c r="I8">
        <v>51</v>
      </c>
      <c r="J8">
        <v>49</v>
      </c>
      <c r="K8">
        <v>138</v>
      </c>
      <c r="M8" s="13" t="s">
        <v>550</v>
      </c>
      <c r="N8">
        <v>620399</v>
      </c>
    </row>
    <row r="9" spans="1:14">
      <c r="G9" s="13" t="s">
        <v>550</v>
      </c>
      <c r="H9">
        <v>164</v>
      </c>
      <c r="I9">
        <v>177</v>
      </c>
      <c r="J9">
        <v>159</v>
      </c>
      <c r="K9">
        <v>500</v>
      </c>
    </row>
    <row r="12" spans="1:14">
      <c r="A12" s="12" t="s">
        <v>556</v>
      </c>
      <c r="B12" t="s">
        <v>551</v>
      </c>
      <c r="D12" t="s">
        <v>551</v>
      </c>
      <c r="E12" t="s">
        <v>552</v>
      </c>
      <c r="G12" s="12" t="s">
        <v>2</v>
      </c>
      <c r="H12" t="s">
        <v>551</v>
      </c>
    </row>
    <row r="13" spans="1:14">
      <c r="A13" s="13" t="s">
        <v>52</v>
      </c>
      <c r="B13">
        <v>153</v>
      </c>
      <c r="D13">
        <v>500</v>
      </c>
      <c r="E13" s="14">
        <v>620399</v>
      </c>
      <c r="G13" s="13" t="s">
        <v>27</v>
      </c>
      <c r="H13">
        <v>164</v>
      </c>
    </row>
    <row r="14" spans="1:14">
      <c r="A14" s="13" t="s">
        <v>24</v>
      </c>
      <c r="B14">
        <v>189</v>
      </c>
      <c r="G14" s="13" t="s">
        <v>17</v>
      </c>
      <c r="H14">
        <v>177</v>
      </c>
    </row>
    <row r="15" spans="1:14">
      <c r="A15" s="13" t="s">
        <v>46</v>
      </c>
      <c r="B15">
        <v>158</v>
      </c>
      <c r="G15" s="13" t="s">
        <v>39</v>
      </c>
      <c r="H15">
        <v>159</v>
      </c>
    </row>
    <row r="16" spans="1:14">
      <c r="A16" s="13" t="s">
        <v>550</v>
      </c>
      <c r="B16">
        <v>500</v>
      </c>
      <c r="G16" s="13" t="s">
        <v>550</v>
      </c>
      <c r="H16">
        <v>500</v>
      </c>
    </row>
    <row r="23" spans="1:23">
      <c r="A23" s="12" t="s">
        <v>551</v>
      </c>
      <c r="B23" s="12" t="s">
        <v>553</v>
      </c>
      <c r="G23" s="12" t="s">
        <v>552</v>
      </c>
      <c r="H23" s="12" t="s">
        <v>553</v>
      </c>
    </row>
    <row r="24" spans="1:23">
      <c r="A24" s="12" t="s">
        <v>549</v>
      </c>
      <c r="B24" t="s">
        <v>27</v>
      </c>
      <c r="C24" t="s">
        <v>17</v>
      </c>
      <c r="D24" t="s">
        <v>39</v>
      </c>
      <c r="E24" t="s">
        <v>550</v>
      </c>
      <c r="H24" t="s">
        <v>52</v>
      </c>
      <c r="L24" t="s">
        <v>558</v>
      </c>
      <c r="M24" t="s">
        <v>24</v>
      </c>
      <c r="Q24" t="s">
        <v>559</v>
      </c>
      <c r="R24" t="s">
        <v>46</v>
      </c>
      <c r="V24" t="s">
        <v>560</v>
      </c>
      <c r="W24" t="s">
        <v>550</v>
      </c>
    </row>
    <row r="25" spans="1:23">
      <c r="A25" s="13" t="s">
        <v>31</v>
      </c>
      <c r="B25">
        <v>41</v>
      </c>
      <c r="C25">
        <v>52</v>
      </c>
      <c r="D25">
        <v>37</v>
      </c>
      <c r="E25">
        <v>130</v>
      </c>
      <c r="G25" s="12" t="s">
        <v>549</v>
      </c>
      <c r="H25" t="s">
        <v>35</v>
      </c>
      <c r="I25" t="s">
        <v>29</v>
      </c>
      <c r="J25" t="s">
        <v>19</v>
      </c>
      <c r="K25" t="s">
        <v>49</v>
      </c>
      <c r="M25" t="s">
        <v>35</v>
      </c>
      <c r="N25" t="s">
        <v>29</v>
      </c>
      <c r="O25" t="s">
        <v>19</v>
      </c>
      <c r="P25" t="s">
        <v>49</v>
      </c>
      <c r="R25" t="s">
        <v>35</v>
      </c>
      <c r="S25" t="s">
        <v>29</v>
      </c>
      <c r="T25" t="s">
        <v>19</v>
      </c>
      <c r="U25" t="s">
        <v>49</v>
      </c>
    </row>
    <row r="26" spans="1:23">
      <c r="A26" s="13" t="s">
        <v>40</v>
      </c>
      <c r="B26">
        <v>37</v>
      </c>
      <c r="C26">
        <v>38</v>
      </c>
      <c r="D26">
        <v>41</v>
      </c>
      <c r="E26">
        <v>116</v>
      </c>
      <c r="G26" s="13" t="s">
        <v>34</v>
      </c>
      <c r="H26">
        <v>10476</v>
      </c>
      <c r="I26">
        <v>17116</v>
      </c>
      <c r="J26">
        <v>11475</v>
      </c>
      <c r="K26">
        <v>4181</v>
      </c>
      <c r="L26">
        <v>43248</v>
      </c>
      <c r="M26">
        <v>26824</v>
      </c>
      <c r="N26">
        <v>18828</v>
      </c>
      <c r="O26">
        <v>4434</v>
      </c>
      <c r="P26">
        <v>28192</v>
      </c>
      <c r="Q26">
        <v>78278</v>
      </c>
      <c r="R26">
        <v>11216</v>
      </c>
      <c r="S26">
        <v>8638</v>
      </c>
      <c r="T26">
        <v>6897</v>
      </c>
      <c r="U26">
        <v>8400</v>
      </c>
      <c r="V26">
        <v>35151</v>
      </c>
      <c r="W26">
        <v>156677</v>
      </c>
    </row>
    <row r="27" spans="1:23">
      <c r="A27" s="13" t="s">
        <v>43</v>
      </c>
      <c r="B27">
        <v>46</v>
      </c>
      <c r="C27">
        <v>37</v>
      </c>
      <c r="D27">
        <v>43</v>
      </c>
      <c r="E27">
        <v>126</v>
      </c>
      <c r="G27" s="13" t="s">
        <v>28</v>
      </c>
      <c r="H27">
        <v>20456</v>
      </c>
      <c r="I27">
        <v>21883</v>
      </c>
      <c r="J27">
        <v>11872</v>
      </c>
      <c r="K27">
        <v>6612</v>
      </c>
      <c r="L27">
        <v>60823</v>
      </c>
      <c r="M27">
        <v>16211</v>
      </c>
      <c r="N27">
        <v>7848</v>
      </c>
      <c r="O27">
        <v>9729</v>
      </c>
      <c r="P27">
        <v>21899</v>
      </c>
      <c r="Q27">
        <v>55687</v>
      </c>
      <c r="R27">
        <v>5449</v>
      </c>
      <c r="S27">
        <v>9707</v>
      </c>
      <c r="T27">
        <v>7525</v>
      </c>
      <c r="U27">
        <v>9027</v>
      </c>
      <c r="V27">
        <v>31708</v>
      </c>
      <c r="W27">
        <v>148218</v>
      </c>
    </row>
    <row r="28" spans="1:23">
      <c r="A28" s="13" t="s">
        <v>21</v>
      </c>
      <c r="B28">
        <v>40</v>
      </c>
      <c r="C28">
        <v>50</v>
      </c>
      <c r="D28">
        <v>38</v>
      </c>
      <c r="E28">
        <v>128</v>
      </c>
      <c r="G28" s="13" t="s">
        <v>48</v>
      </c>
      <c r="H28">
        <v>11326</v>
      </c>
      <c r="I28">
        <v>19152</v>
      </c>
      <c r="J28">
        <v>3566</v>
      </c>
      <c r="K28">
        <v>14742</v>
      </c>
      <c r="L28">
        <v>48786</v>
      </c>
      <c r="M28">
        <v>11285</v>
      </c>
      <c r="N28">
        <v>4522</v>
      </c>
      <c r="O28">
        <v>21589</v>
      </c>
      <c r="P28">
        <v>15175</v>
      </c>
      <c r="Q28">
        <v>52571</v>
      </c>
      <c r="R28">
        <v>9855</v>
      </c>
      <c r="S28">
        <v>7179</v>
      </c>
      <c r="T28">
        <v>7761</v>
      </c>
      <c r="U28">
        <v>14567</v>
      </c>
      <c r="V28">
        <v>39362</v>
      </c>
      <c r="W28">
        <v>140719</v>
      </c>
    </row>
    <row r="29" spans="1:23">
      <c r="A29" s="13" t="s">
        <v>550</v>
      </c>
      <c r="B29">
        <v>164</v>
      </c>
      <c r="C29">
        <v>177</v>
      </c>
      <c r="D29">
        <v>159</v>
      </c>
      <c r="E29">
        <v>500</v>
      </c>
      <c r="G29" s="13" t="s">
        <v>18</v>
      </c>
      <c r="H29">
        <v>20341</v>
      </c>
      <c r="I29">
        <v>16756</v>
      </c>
      <c r="J29">
        <v>15309</v>
      </c>
      <c r="K29">
        <v>5350</v>
      </c>
      <c r="L29">
        <v>57756</v>
      </c>
      <c r="M29">
        <v>13034</v>
      </c>
      <c r="N29">
        <v>12744</v>
      </c>
      <c r="O29">
        <v>23189</v>
      </c>
      <c r="P29">
        <v>15138</v>
      </c>
      <c r="Q29">
        <v>64105</v>
      </c>
      <c r="R29">
        <v>4614</v>
      </c>
      <c r="S29">
        <v>7943</v>
      </c>
      <c r="T29">
        <v>16413</v>
      </c>
      <c r="U29">
        <v>23954</v>
      </c>
      <c r="V29">
        <v>52924</v>
      </c>
      <c r="W29">
        <v>174785</v>
      </c>
    </row>
    <row r="30" spans="1:23">
      <c r="G30" s="13" t="s">
        <v>550</v>
      </c>
      <c r="H30">
        <v>62599</v>
      </c>
      <c r="I30">
        <v>74907</v>
      </c>
      <c r="J30">
        <v>42222</v>
      </c>
      <c r="K30">
        <v>30885</v>
      </c>
      <c r="L30">
        <v>210613</v>
      </c>
      <c r="M30">
        <v>67354</v>
      </c>
      <c r="N30">
        <v>43942</v>
      </c>
      <c r="O30">
        <v>58941</v>
      </c>
      <c r="P30">
        <v>80404</v>
      </c>
      <c r="Q30">
        <v>250641</v>
      </c>
      <c r="R30">
        <v>31134</v>
      </c>
      <c r="S30">
        <v>33467</v>
      </c>
      <c r="T30">
        <v>38596</v>
      </c>
      <c r="U30">
        <v>55948</v>
      </c>
      <c r="V30">
        <v>159145</v>
      </c>
      <c r="W30">
        <v>620399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8013-2392-461F-91CB-58F603A253BF}">
  <dimension ref="C1:Y4"/>
  <sheetViews>
    <sheetView topLeftCell="B1" zoomScale="81" zoomScaleNormal="81" workbookViewId="0">
      <selection activeCell="R19" sqref="R19"/>
    </sheetView>
  </sheetViews>
  <sheetFormatPr defaultRowHeight="13.2"/>
  <cols>
    <col min="4" max="5" width="8.88671875" customWidth="1"/>
    <col min="13" max="13" width="7.5546875" customWidth="1"/>
    <col min="14" max="14" width="11.6640625" customWidth="1"/>
  </cols>
  <sheetData>
    <row r="1" spans="3:25" ht="16.8" customHeight="1">
      <c r="C1" s="16" t="s">
        <v>557</v>
      </c>
      <c r="D1" s="17"/>
      <c r="E1" s="17"/>
      <c r="F1" s="17"/>
      <c r="G1" s="17"/>
      <c r="H1" s="17"/>
      <c r="I1" s="17"/>
      <c r="J1" s="17"/>
      <c r="K1" s="17"/>
      <c r="L1" s="17"/>
      <c r="M1" s="17"/>
      <c r="N1" s="17"/>
      <c r="O1" s="17"/>
      <c r="P1" s="17"/>
      <c r="Q1" s="17"/>
      <c r="R1" s="17"/>
      <c r="S1" s="17"/>
      <c r="T1" s="17"/>
      <c r="U1" s="17"/>
      <c r="V1" s="17"/>
      <c r="W1" s="17"/>
      <c r="X1" s="17"/>
      <c r="Y1" s="17"/>
    </row>
    <row r="2" spans="3:25" ht="13.2" customHeight="1">
      <c r="C2" s="17"/>
      <c r="D2" s="17"/>
      <c r="E2" s="17"/>
      <c r="F2" s="17"/>
      <c r="G2" s="17"/>
      <c r="H2" s="17"/>
      <c r="I2" s="17"/>
      <c r="J2" s="17"/>
      <c r="K2" s="17"/>
      <c r="L2" s="17"/>
      <c r="M2" s="17"/>
      <c r="N2" s="17"/>
      <c r="O2" s="17"/>
      <c r="P2" s="17"/>
      <c r="Q2" s="17"/>
      <c r="R2" s="17"/>
      <c r="S2" s="17"/>
      <c r="T2" s="17"/>
      <c r="U2" s="17"/>
      <c r="V2" s="17"/>
      <c r="W2" s="17"/>
      <c r="X2" s="17"/>
      <c r="Y2" s="17"/>
    </row>
    <row r="3" spans="3:25">
      <c r="C3" s="17"/>
      <c r="D3" s="17"/>
      <c r="E3" s="17"/>
      <c r="F3" s="17"/>
      <c r="G3" s="17"/>
      <c r="H3" s="17"/>
      <c r="I3" s="17"/>
      <c r="J3" s="17"/>
      <c r="K3" s="17"/>
      <c r="L3" s="17"/>
      <c r="M3" s="17"/>
      <c r="N3" s="17"/>
      <c r="O3" s="17"/>
      <c r="P3" s="17"/>
      <c r="Q3" s="17"/>
      <c r="R3" s="17"/>
      <c r="S3" s="17"/>
      <c r="T3" s="17"/>
      <c r="U3" s="17"/>
      <c r="V3" s="17"/>
      <c r="W3" s="17"/>
      <c r="X3" s="17"/>
      <c r="Y3" s="17"/>
    </row>
    <row r="4" spans="3:25">
      <c r="D4" s="15"/>
    </row>
  </sheetData>
  <mergeCells count="1">
    <mergeCell ref="C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cleaned data</vt:lpstr>
      <vt:lpstr>pivote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JYOTHSNA</dc:creator>
  <cp:lastModifiedBy>jyothsna sri sindhu</cp:lastModifiedBy>
  <dcterms:created xsi:type="dcterms:W3CDTF">2025-10-18T17:56:59Z</dcterms:created>
  <dcterms:modified xsi:type="dcterms:W3CDTF">2025-10-19T20:23:09Z</dcterms:modified>
</cp:coreProperties>
</file>